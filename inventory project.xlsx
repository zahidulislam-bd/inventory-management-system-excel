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B293FF6C-0502-4AB5-B5C5-55FBA2776F8D}" xr6:coauthVersionLast="47" xr6:coauthVersionMax="47" xr10:uidLastSave="{00000000-0000-0000-0000-000000000000}"/>
  <bookViews>
    <workbookView xWindow="-120" yWindow="-120" windowWidth="29040" windowHeight="15720" xr2:uid="{7C5AC815-0BD8-4201-AA4C-27C750E722AD}"/>
  </bookViews>
  <sheets>
    <sheet name="Dashboard" sheetId="2" r:id="rId1"/>
    <sheet name="Custumers" sheetId="1" r:id="rId2"/>
    <sheet name="Products" sheetId="3" r:id="rId3"/>
    <sheet name="Vendors" sheetId="4" r:id="rId4"/>
    <sheet name="New Entry" sheetId="5" r:id="rId5"/>
    <sheet name="Purchase" sheetId="6" r:id="rId6"/>
    <sheet name="Sales" sheetId="7" r:id="rId7"/>
    <sheet name="Inventory" sheetId="8" r:id="rId8"/>
    <sheet name="Pivots" sheetId="9" r:id="rId9"/>
  </sheets>
  <externalReferences>
    <externalReference r:id="rId10"/>
  </externalReferences>
  <definedNames>
    <definedName name="Cust_ID">customersdata[Cust_ID]</definedName>
    <definedName name="sku_code">product[SKU Code]</definedName>
    <definedName name="SKUcode">[1]!Table4[HSN Code]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7" l="1"/>
  <c r="H22" i="7"/>
  <c r="F28" i="6"/>
  <c r="F27" i="6"/>
  <c r="I28" i="6"/>
  <c r="J28" i="6" s="1"/>
  <c r="E28" i="6"/>
  <c r="E27" i="6"/>
  <c r="K24" i="7"/>
  <c r="L24" i="7" s="1"/>
  <c r="K23" i="7"/>
  <c r="L23" i="7" s="1"/>
  <c r="I24" i="7"/>
  <c r="G24" i="7"/>
  <c r="G23" i="7"/>
  <c r="E24" i="7"/>
  <c r="E23" i="7"/>
  <c r="F9" i="6"/>
  <c r="K16" i="7"/>
  <c r="L16" i="7" s="1"/>
  <c r="E14" i="6"/>
  <c r="I32" i="7"/>
  <c r="I33" i="7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E21" i="8"/>
  <c r="F21" i="8"/>
  <c r="D22" i="8"/>
  <c r="E22" i="8"/>
  <c r="F22" i="8"/>
  <c r="D23" i="8"/>
  <c r="E23" i="8"/>
  <c r="F23" i="8"/>
  <c r="D24" i="8"/>
  <c r="E24" i="8"/>
  <c r="F24" i="8"/>
  <c r="D25" i="8"/>
  <c r="E25" i="8"/>
  <c r="F25" i="8"/>
  <c r="D26" i="8"/>
  <c r="E26" i="8"/>
  <c r="F26" i="8"/>
  <c r="D27" i="8"/>
  <c r="E27" i="8"/>
  <c r="F27" i="8"/>
  <c r="D28" i="8"/>
  <c r="E28" i="8"/>
  <c r="F28" i="8"/>
  <c r="D29" i="8"/>
  <c r="E29" i="8"/>
  <c r="F29" i="8"/>
  <c r="D30" i="8"/>
  <c r="E30" i="8"/>
  <c r="F30" i="8"/>
  <c r="D31" i="8"/>
  <c r="E31" i="8"/>
  <c r="F31" i="8"/>
  <c r="D32" i="8"/>
  <c r="E32" i="8"/>
  <c r="F32" i="8"/>
  <c r="D33" i="8"/>
  <c r="E33" i="8"/>
  <c r="F33" i="8"/>
  <c r="E10" i="8"/>
  <c r="F10" i="8"/>
  <c r="D10" i="8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32" i="7"/>
  <c r="L32" i="7" s="1"/>
  <c r="K33" i="7"/>
  <c r="L33" i="7" s="1"/>
  <c r="G9" i="7"/>
  <c r="G10" i="7"/>
  <c r="G11" i="7"/>
  <c r="H11" i="8" s="1"/>
  <c r="G12" i="7"/>
  <c r="G13" i="7"/>
  <c r="G14" i="7"/>
  <c r="G15" i="7"/>
  <c r="G16" i="7"/>
  <c r="G17" i="7"/>
  <c r="G18" i="7"/>
  <c r="G19" i="7"/>
  <c r="G20" i="7"/>
  <c r="G21" i="7"/>
  <c r="G22" i="7"/>
  <c r="G32" i="7"/>
  <c r="G33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33" i="7"/>
  <c r="C10" i="9"/>
  <c r="C17" i="9"/>
  <c r="C13" i="9"/>
  <c r="C3" i="9"/>
  <c r="C6" i="9"/>
  <c r="H17" i="8" l="1"/>
  <c r="H16" i="8"/>
  <c r="I15" i="7" s="1"/>
  <c r="H19" i="8"/>
  <c r="H14" i="8"/>
  <c r="I13" i="7" s="1"/>
  <c r="H18" i="8"/>
  <c r="H12" i="8"/>
  <c r="H13" i="8"/>
  <c r="H10" i="8"/>
  <c r="I9" i="7" s="1"/>
  <c r="H15" i="8"/>
  <c r="C20" i="9"/>
  <c r="I16" i="7"/>
  <c r="I18" i="7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E9" i="6"/>
  <c r="E10" i="6"/>
  <c r="E11" i="6"/>
  <c r="E12" i="6"/>
  <c r="E13" i="6"/>
  <c r="E15" i="6"/>
  <c r="E16" i="6"/>
  <c r="E17" i="6"/>
  <c r="E18" i="6"/>
  <c r="E19" i="6"/>
  <c r="E20" i="6"/>
  <c r="E21" i="6"/>
  <c r="E22" i="6"/>
  <c r="E23" i="6"/>
  <c r="E24" i="6"/>
  <c r="E25" i="6"/>
  <c r="E26" i="6"/>
  <c r="I23" i="7" l="1"/>
  <c r="I22" i="7"/>
  <c r="I17" i="7"/>
  <c r="I14" i="7"/>
  <c r="I20" i="7"/>
  <c r="I19" i="7"/>
  <c r="I10" i="7"/>
  <c r="I12" i="7"/>
  <c r="I21" i="7"/>
  <c r="I11" i="7"/>
  <c r="G10" i="8"/>
  <c r="I10" i="8" s="1"/>
  <c r="K10" i="8" s="1"/>
  <c r="G11" i="8"/>
  <c r="I11" i="8" s="1"/>
  <c r="K11" i="8" s="1"/>
  <c r="G12" i="8"/>
  <c r="I12" i="8" s="1"/>
  <c r="K12" i="8" s="1"/>
  <c r="G13" i="8"/>
  <c r="I13" i="8" s="1"/>
  <c r="K13" i="8" s="1"/>
  <c r="G14" i="8"/>
  <c r="I14" i="8" s="1"/>
  <c r="K14" i="8" s="1"/>
  <c r="G16" i="8"/>
  <c r="I16" i="8" s="1"/>
  <c r="K16" i="8" s="1"/>
  <c r="G17" i="8"/>
  <c r="I17" i="8" s="1"/>
  <c r="K17" i="8" s="1"/>
  <c r="G18" i="8"/>
  <c r="I18" i="8" s="1"/>
  <c r="K18" i="8" s="1"/>
  <c r="G19" i="8"/>
  <c r="I19" i="8" s="1"/>
  <c r="G15" i="8"/>
  <c r="I15" i="8" l="1"/>
  <c r="K15" i="8" s="1"/>
  <c r="J19" i="8"/>
  <c r="K19" i="8"/>
  <c r="J16" i="8"/>
  <c r="J18" i="8"/>
  <c r="J17" i="8"/>
  <c r="J14" i="8"/>
  <c r="J10" i="8"/>
  <c r="J13" i="8"/>
  <c r="J12" i="8"/>
  <c r="J11" i="8"/>
  <c r="N16" i="2" l="1"/>
  <c r="J15" i="8"/>
</calcChain>
</file>

<file path=xl/sharedStrings.xml><?xml version="1.0" encoding="utf-8"?>
<sst xmlns="http://schemas.openxmlformats.org/spreadsheetml/2006/main" count="206" uniqueCount="85">
  <si>
    <t>Cust_ID</t>
  </si>
  <si>
    <t>Name</t>
  </si>
  <si>
    <t>Email</t>
  </si>
  <si>
    <t>Address</t>
  </si>
  <si>
    <t>Atul Ltd.</t>
  </si>
  <si>
    <t>Atu@gmail.com</t>
  </si>
  <si>
    <t>MK Tech.</t>
  </si>
  <si>
    <t>MK @gmail.com</t>
  </si>
  <si>
    <t>99store</t>
  </si>
  <si>
    <t>99s@gmail.com</t>
  </si>
  <si>
    <t xml:space="preserve">Amit </t>
  </si>
  <si>
    <t>Ami@gmail.com</t>
  </si>
  <si>
    <t>Tanvir Ahmed</t>
  </si>
  <si>
    <t>Sadman Tel.</t>
  </si>
  <si>
    <t>Rahim Uddin</t>
  </si>
  <si>
    <t>Mirpur, Dhaka</t>
  </si>
  <si>
    <t>Nasirabad, Chattogram</t>
  </si>
  <si>
    <t>Zindabazar, Sylhet</t>
  </si>
  <si>
    <t>Banani, Dhaka</t>
  </si>
  <si>
    <t>Station Bazaar, Rangpur</t>
  </si>
  <si>
    <t>Kandirpar Main Road, Cumilla</t>
  </si>
  <si>
    <t>Royal Moor, Khulna</t>
  </si>
  <si>
    <t>Rahim@gmail.com</t>
  </si>
  <si>
    <t>tanvir@gmail.com</t>
  </si>
  <si>
    <t>sadman@gmail.com</t>
  </si>
  <si>
    <t>Product Name</t>
  </si>
  <si>
    <t>Cost</t>
  </si>
  <si>
    <t>Selling Price</t>
  </si>
  <si>
    <t>N1001</t>
  </si>
  <si>
    <t>Smart Watch</t>
  </si>
  <si>
    <t>N1002</t>
  </si>
  <si>
    <t>Laptop HP xyz i5</t>
  </si>
  <si>
    <t>N1003</t>
  </si>
  <si>
    <t>Wireless Printer</t>
  </si>
  <si>
    <t>N1004</t>
  </si>
  <si>
    <t>Desktop</t>
  </si>
  <si>
    <t>N1005</t>
  </si>
  <si>
    <t>Mouse</t>
  </si>
  <si>
    <t>N1006</t>
  </si>
  <si>
    <t>Rgb Keyboard</t>
  </si>
  <si>
    <t>N1007</t>
  </si>
  <si>
    <t>Camera</t>
  </si>
  <si>
    <t>N1008</t>
  </si>
  <si>
    <t>Headphones</t>
  </si>
  <si>
    <t>N1009</t>
  </si>
  <si>
    <t>Speakers</t>
  </si>
  <si>
    <t>N1010</t>
  </si>
  <si>
    <t>Tablets</t>
  </si>
  <si>
    <t>Vendor Name</t>
  </si>
  <si>
    <t>Phone</t>
  </si>
  <si>
    <t>Tech99</t>
  </si>
  <si>
    <t>GG Traders</t>
  </si>
  <si>
    <t>Compac</t>
  </si>
  <si>
    <t>0182xxxxxx</t>
  </si>
  <si>
    <t>0183xxxxxx</t>
  </si>
  <si>
    <t>0184xxxxxx</t>
  </si>
  <si>
    <t>Purchase Entry</t>
  </si>
  <si>
    <t>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</si>
  <si>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</si>
  <si>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</si>
  <si>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</si>
  <si>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</si>
  <si>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</si>
  <si>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</si>
  <si>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</si>
  <si>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</t>
  </si>
  <si>
    <t>S Unit</t>
  </si>
  <si>
    <t>Stock</t>
  </si>
  <si>
    <t>Stock Amt</t>
  </si>
  <si>
    <t>Count of Name</t>
  </si>
  <si>
    <t>Customers</t>
  </si>
  <si>
    <t>Count of Product Name</t>
  </si>
  <si>
    <t>Products</t>
  </si>
  <si>
    <t>Sum of Amount</t>
  </si>
  <si>
    <t>purchase amt</t>
  </si>
  <si>
    <t>sale amt</t>
  </si>
  <si>
    <t>Row Labels</t>
  </si>
  <si>
    <t>Grand Total</t>
  </si>
  <si>
    <t>Sum of Stock Amt</t>
  </si>
  <si>
    <t>stock amt</t>
  </si>
  <si>
    <t>p/l</t>
  </si>
  <si>
    <t>Sum of S Unit</t>
  </si>
  <si>
    <t>Notification</t>
  </si>
  <si>
    <t>Sum of Stock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</si>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</sst>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36"/>
      <color rgb="FFFF0000"/>
      <name val="Calibri"/>
      <family val="2"/>
      <scheme val="minor"/>
    </font>
    <font>
      <u/>
      <sz val="36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43" fontId="1" fillId="3" borderId="0" xfId="0" applyNumberFormat="1" applyFont="1" applyFill="1"/>
    <xf numFmtId="41" fontId="1" fillId="3" borderId="0" xfId="0" applyNumberFormat="1" applyFont="1" applyFill="1"/>
    <xf numFmtId="0" fontId="4" fillId="3" borderId="0" xfId="0" applyFont="1" applyFill="1"/>
    <xf numFmtId="0" fontId="2" fillId="3" borderId="0" xfId="0" applyFont="1" applyFill="1"/>
    <xf numFmtId="164" fontId="0" fillId="3" borderId="0" xfId="0" applyNumberFormat="1" applyFill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164" fontId="0" fillId="3" borderId="0" xfId="0" applyNumberFormat="1" applyFill="1" applyAlignment="1">
      <alignment horizontal="left"/>
    </xf>
    <xf numFmtId="0" fontId="8" fillId="3" borderId="0" xfId="0" applyFont="1" applyFill="1"/>
    <xf numFmtId="0" fontId="1" fillId="3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/>
    <xf numFmtId="37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  <xf numFmtId="0" fontId="0" fillId="4" borderId="0" xfId="0" applyFill="1"/>
    <xf numFmtId="0" fontId="10" fillId="4" borderId="0" xfId="0" applyFont="1" applyFill="1"/>
    <xf numFmtId="0" fontId="11" fillId="3" borderId="0" xfId="0" applyFont="1" applyFill="1" applyAlignment="1">
      <alignment horizontal="center"/>
    </xf>
    <xf numFmtId="0" fontId="9" fillId="2" borderId="0" xfId="0" applyFont="1" applyFill="1"/>
    <xf numFmtId="0" fontId="12" fillId="2" borderId="0" xfId="0" applyFont="1" applyFill="1"/>
    <xf numFmtId="0" fontId="9" fillId="3" borderId="0" xfId="0" applyFont="1" applyFill="1"/>
    <xf numFmtId="0" fontId="13" fillId="2" borderId="0" xfId="1" applyFont="1" applyFill="1"/>
    <xf numFmtId="0" fontId="14" fillId="2" borderId="0" xfId="1" applyFont="1" applyFill="1"/>
  </cellXfs>
  <cellStyles count="3">
    <cellStyle name="Comma" xfId="2" builtinId="3"/>
    <cellStyle name="Hyperlink" xfId="1" builtinId="8"/>
    <cellStyle name="Normal" xfId="0" builtinId="0"/>
  </cellStyles>
  <dxfs count="52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3" formatCode="_(* #,##0_);_(* \(#,##0\);_(* &quot;-&quot;_);_(@_)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3" formatCode="_(* #,##0_);_(* \(#,##0\);_(* &quot;-&quot;_);_(@_)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project.xlsx]Pivots!top 5 custumers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Customers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722222222222222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166666666666668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055555555555556"/>
              <c:y val="-9.2592592592593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6666666666666693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277777777777777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722222222222222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166666666666668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055555555555556"/>
              <c:y val="-9.2592592592593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6666666666666693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277777777777777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722222222222222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166666666666668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055555555555556"/>
              <c:y val="-9.2592592592593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6666666666666693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277777777777777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1EC-4A9B-A298-3C7514FE60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C-4A9B-A298-3C7514FE60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EC-4A9B-A298-3C7514FE60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C-4A9B-A298-3C7514FE60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EC-4A9B-A298-3C7514FE6028}"/>
              </c:ext>
            </c:extLst>
          </c:dPt>
          <c:dLbls>
            <c:dLbl>
              <c:idx val="0"/>
              <c:layout>
                <c:manualLayout>
                  <c:x val="0.3722222222222222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EC-4A9B-A298-3C7514FE6028}"/>
                </c:ext>
              </c:extLst>
            </c:dLbl>
            <c:dLbl>
              <c:idx val="1"/>
              <c:layout>
                <c:manualLayout>
                  <c:x val="0.19166666666666668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EC-4A9B-A298-3C7514FE6028}"/>
                </c:ext>
              </c:extLst>
            </c:dLbl>
            <c:dLbl>
              <c:idx val="2"/>
              <c:layout>
                <c:manualLayout>
                  <c:x val="0.13055555555555556"/>
                  <c:y val="-9.2592592592593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EC-4A9B-A298-3C7514FE6028}"/>
                </c:ext>
              </c:extLst>
            </c:dLbl>
            <c:dLbl>
              <c:idx val="3"/>
              <c:layout>
                <c:manualLayout>
                  <c:x val="6.6666666666666693E-2"/>
                  <c:y val="9.25925925925917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EC-4A9B-A298-3C7514FE6028}"/>
                </c:ext>
              </c:extLst>
            </c:dLbl>
            <c:dLbl>
              <c:idx val="4"/>
              <c:layout>
                <c:manualLayout>
                  <c:x val="5.27777777777777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EC-4A9B-A298-3C7514FE60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Pivots!$E$12:$E$17</c:f>
              <c:strCache>
                <c:ptCount val="5"/>
                <c:pt idx="0">
                  <c:v>Rahim Uddin</c:v>
                </c:pt>
                <c:pt idx="1">
                  <c:v>Tanvir Ahmed</c:v>
                </c:pt>
                <c:pt idx="2">
                  <c:v>Atul Ltd.</c:v>
                </c:pt>
                <c:pt idx="3">
                  <c:v>99store</c:v>
                </c:pt>
                <c:pt idx="4">
                  <c:v>MK Tech.</c:v>
                </c:pt>
              </c:strCache>
            </c:strRef>
          </c:cat>
          <c:val>
            <c:numRef>
              <c:f>Pivots!$F$12:$F$17</c:f>
              <c:numCache>
                <c:formatCode>General</c:formatCode>
                <c:ptCount val="5"/>
                <c:pt idx="0">
                  <c:v>1915687</c:v>
                </c:pt>
                <c:pt idx="1">
                  <c:v>803640</c:v>
                </c:pt>
                <c:pt idx="2">
                  <c:v>455400</c:v>
                </c:pt>
                <c:pt idx="3">
                  <c:v>66240</c:v>
                </c:pt>
                <c:pt idx="4">
                  <c:v>21168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EC-4A9B-A298-3C7514FE6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9962504"/>
        <c:axId val="639963224"/>
      </c:barChart>
      <c:catAx>
        <c:axId val="63996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963224"/>
        <c:crosses val="autoZero"/>
        <c:auto val="1"/>
        <c:lblAlgn val="ctr"/>
        <c:lblOffset val="100"/>
        <c:noMultiLvlLbl val="0"/>
      </c:catAx>
      <c:valAx>
        <c:axId val="639963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996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project.xlsx]Pivots!top 5 products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Products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Pivots!$E$3:$E$8</c:f>
              <c:strCache>
                <c:ptCount val="5"/>
                <c:pt idx="0">
                  <c:v>Rgb Keyboard</c:v>
                </c:pt>
                <c:pt idx="1">
                  <c:v>Mouse</c:v>
                </c:pt>
                <c:pt idx="2">
                  <c:v>Laptop HP xyz i5</c:v>
                </c:pt>
                <c:pt idx="3">
                  <c:v>Smart Watch</c:v>
                </c:pt>
                <c:pt idx="4">
                  <c:v>Speakers</c:v>
                </c:pt>
              </c:strCache>
            </c:strRef>
          </c:cat>
          <c:val>
            <c:numRef>
              <c:f>Pivots!$F$3:$F$8</c:f>
              <c:numCache>
                <c:formatCode>General</c:formatCode>
                <c:ptCount val="5"/>
                <c:pt idx="0">
                  <c:v>38</c:v>
                </c:pt>
                <c:pt idx="1">
                  <c:v>36</c:v>
                </c:pt>
                <c:pt idx="2">
                  <c:v>30</c:v>
                </c:pt>
                <c:pt idx="3">
                  <c:v>28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3-434B-95C2-C826F2D9CC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5657312"/>
        <c:axId val="660754648"/>
      </c:barChart>
      <c:catAx>
        <c:axId val="63565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54648"/>
        <c:crosses val="autoZero"/>
        <c:auto val="1"/>
        <c:lblAlgn val="ctr"/>
        <c:lblOffset val="100"/>
        <c:noMultiLvlLbl val="0"/>
      </c:catAx>
      <c:valAx>
        <c:axId val="660754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565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project.xlsx]Pivots!PivotTable4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Pivots!$A$24:$A$34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Pivots!$B$24:$B$34</c:f>
              <c:numCache>
                <c:formatCode>General</c:formatCode>
                <c:ptCount val="10"/>
                <c:pt idx="0">
                  <c:v>26</c:v>
                </c:pt>
                <c:pt idx="1">
                  <c:v>23</c:v>
                </c:pt>
                <c:pt idx="2">
                  <c:v>27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25</c:v>
                </c:pt>
                <c:pt idx="8">
                  <c:v>9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D-4254-BCB3-C1987C3661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096728"/>
        <c:axId val="675094928"/>
      </c:barChart>
      <c:catAx>
        <c:axId val="675096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94928"/>
        <c:crosses val="autoZero"/>
        <c:auto val="1"/>
        <c:lblAlgn val="ctr"/>
        <c:lblOffset val="100"/>
        <c:noMultiLvlLbl val="0"/>
      </c:catAx>
      <c:valAx>
        <c:axId val="675094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509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12" Type="http://schemas.openxmlformats.org/officeDocument/2006/relationships/chart" Target="../charts/chart3.xml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chart" Target="../charts/chart2.xml"/><Relationship Id="rId5" Type="http://schemas.openxmlformats.org/officeDocument/2006/relationships/hyperlink" Target="#Products!A1"/><Relationship Id="rId10" Type="http://schemas.openxmlformats.org/officeDocument/2006/relationships/chart" Target="../charts/chart1.xml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3" Type="http://schemas.openxmlformats.org/officeDocument/2006/relationships/hyperlink" Target="#Vendors!A1"/><Relationship Id="rId7" Type="http://schemas.openxmlformats.org/officeDocument/2006/relationships/hyperlink" Target="#Sales!A1"/><Relationship Id="rId2" Type="http://schemas.openxmlformats.org/officeDocument/2006/relationships/hyperlink" Target="#Custumers!A1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5" Type="http://schemas.openxmlformats.org/officeDocument/2006/relationships/hyperlink" Target="#'New Entry'!A1"/><Relationship Id="rId4" Type="http://schemas.openxmlformats.org/officeDocument/2006/relationships/hyperlink" Target="#Products!A1"/><Relationship Id="rId9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5" Type="http://schemas.openxmlformats.org/officeDocument/2006/relationships/hyperlink" Target="#Products!A1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5" Type="http://schemas.openxmlformats.org/officeDocument/2006/relationships/hyperlink" Target="#Products!A1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5" Type="http://schemas.openxmlformats.org/officeDocument/2006/relationships/hyperlink" Target="#Products!A1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5" Type="http://schemas.openxmlformats.org/officeDocument/2006/relationships/hyperlink" Target="#Products!A1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5" Type="http://schemas.openxmlformats.org/officeDocument/2006/relationships/hyperlink" Target="#Products!A1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3" Type="http://schemas.openxmlformats.org/officeDocument/2006/relationships/hyperlink" Target="#Custumers!A1"/><Relationship Id="rId7" Type="http://schemas.openxmlformats.org/officeDocument/2006/relationships/hyperlink" Target="#Purchase!A1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5" Type="http://schemas.openxmlformats.org/officeDocument/2006/relationships/hyperlink" Target="#Products!A1"/><Relationship Id="rId4" Type="http://schemas.openxmlformats.org/officeDocument/2006/relationships/hyperlink" Target="#Vendors!A1"/><Relationship Id="rId9" Type="http://schemas.openxmlformats.org/officeDocument/2006/relationships/hyperlink" Target="#Invento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9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EA62C9-5A2E-43D1-B5BB-EE377C2AFA5F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oneCell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3" name="Picture 2" descr="Inventory - Free industry icons">
          <a:extLst>
            <a:ext uri="{FF2B5EF4-FFF2-40B4-BE49-F238E27FC236}">
              <a16:creationId xmlns:a16="http://schemas.microsoft.com/office/drawing/2014/main" id="{6CB197D8-0A21-4A9E-9D9D-DBC68DD75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10</xdr:row>
      <xdr:rowOff>102394</xdr:rowOff>
    </xdr:from>
    <xdr:to>
      <xdr:col>1</xdr:col>
      <xdr:colOff>2072284</xdr:colOff>
      <xdr:row>13</xdr:row>
      <xdr:rowOff>35719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6E9DBD-E6FE-41BF-B655-625DA4604F49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13</xdr:row>
      <xdr:rowOff>100013</xdr:rowOff>
    </xdr:from>
    <xdr:to>
      <xdr:col>1</xdr:col>
      <xdr:colOff>2072284</xdr:colOff>
      <xdr:row>14</xdr:row>
      <xdr:rowOff>414338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C74F4A-3AAC-40B2-AB68-54A6F8D38402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18</xdr:row>
      <xdr:rowOff>19051</xdr:rowOff>
    </xdr:from>
    <xdr:to>
      <xdr:col>1</xdr:col>
      <xdr:colOff>2072284</xdr:colOff>
      <xdr:row>20</xdr:row>
      <xdr:rowOff>142876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E0B254-8567-46A2-BA1F-E5765BEDAB0E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15</xdr:row>
      <xdr:rowOff>40482</xdr:rowOff>
    </xdr:from>
    <xdr:to>
      <xdr:col>1</xdr:col>
      <xdr:colOff>2072284</xdr:colOff>
      <xdr:row>17</xdr:row>
      <xdr:rowOff>154782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ABD9C1-40EE-4F50-BE2F-99EBD5BAA646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21</xdr:row>
      <xdr:rowOff>7145</xdr:rowOff>
    </xdr:from>
    <xdr:to>
      <xdr:col>1</xdr:col>
      <xdr:colOff>2072284</xdr:colOff>
      <xdr:row>23</xdr:row>
      <xdr:rowOff>130970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7D6DDF-37F5-42B8-9C0C-AEFFA878B6F7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23</xdr:row>
      <xdr:rowOff>185739</xdr:rowOff>
    </xdr:from>
    <xdr:to>
      <xdr:col>1</xdr:col>
      <xdr:colOff>2072284</xdr:colOff>
      <xdr:row>26</xdr:row>
      <xdr:rowOff>119064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5F4F18-3916-406D-8C1B-6929FAA3A609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26</xdr:row>
      <xdr:rowOff>173833</xdr:rowOff>
    </xdr:from>
    <xdr:to>
      <xdr:col>1</xdr:col>
      <xdr:colOff>2072284</xdr:colOff>
      <xdr:row>29</xdr:row>
      <xdr:rowOff>107158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00B3A2-4420-4A33-A5A0-DCFB004143CE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29</xdr:row>
      <xdr:rowOff>161925</xdr:rowOff>
    </xdr:from>
    <xdr:to>
      <xdr:col>1</xdr:col>
      <xdr:colOff>2072284</xdr:colOff>
      <xdr:row>32</xdr:row>
      <xdr:rowOff>95250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ADA5760-3E22-4D53-8994-01A578CB0440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2</xdr:col>
      <xdr:colOff>285749</xdr:colOff>
      <xdr:row>1</xdr:row>
      <xdr:rowOff>0</xdr:rowOff>
    </xdr:from>
    <xdr:to>
      <xdr:col>21</xdr:col>
      <xdr:colOff>0</xdr:colOff>
      <xdr:row>6</xdr:row>
      <xdr:rowOff>66675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4009A13-3624-48A2-ABCE-E5A9F57F45EE}"/>
            </a:ext>
          </a:extLst>
        </xdr:cNvPr>
        <xdr:cNvSpPr/>
      </xdr:nvSpPr>
      <xdr:spPr>
        <a:xfrm>
          <a:off x="2552699" y="190500"/>
          <a:ext cx="15373351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>
              <a:solidFill>
                <a:schemeClr val="tx1"/>
              </a:solidFill>
            </a:rPr>
            <a:t>Inventory</a:t>
          </a:r>
          <a:r>
            <a:rPr lang="en-US" sz="4000" b="1" baseline="0">
              <a:solidFill>
                <a:schemeClr val="tx1"/>
              </a:solidFill>
            </a:rPr>
            <a:t> Management System</a:t>
          </a:r>
          <a:endParaRPr lang="en-US" sz="40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57150</xdr:colOff>
      <xdr:row>7</xdr:row>
      <xdr:rowOff>28575</xdr:rowOff>
    </xdr:from>
    <xdr:to>
      <xdr:col>5</xdr:col>
      <xdr:colOff>476250</xdr:colOff>
      <xdr:row>12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789DA41-A8AB-E267-6B22-1C901992F607}"/>
            </a:ext>
          </a:extLst>
        </xdr:cNvPr>
        <xdr:cNvSpPr/>
      </xdr:nvSpPr>
      <xdr:spPr>
        <a:xfrm>
          <a:off x="2609850" y="1362075"/>
          <a:ext cx="2514600" cy="1038225"/>
        </a:xfrm>
        <a:prstGeom prst="roundRect">
          <a:avLst>
            <a:gd name="adj" fmla="val 23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5</xdr:col>
      <xdr:colOff>516255</xdr:colOff>
      <xdr:row>7</xdr:row>
      <xdr:rowOff>28575</xdr:rowOff>
    </xdr:from>
    <xdr:to>
      <xdr:col>6</xdr:col>
      <xdr:colOff>1240155</xdr:colOff>
      <xdr:row>12</xdr:row>
      <xdr:rowOff>114300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50FA1D8-9D04-982E-8F4D-A6ACE96582B4}"/>
            </a:ext>
          </a:extLst>
        </xdr:cNvPr>
        <xdr:cNvSpPr/>
      </xdr:nvSpPr>
      <xdr:spPr>
        <a:xfrm>
          <a:off x="5164455" y="1362075"/>
          <a:ext cx="2514600" cy="1038225"/>
        </a:xfrm>
        <a:prstGeom prst="roundRect">
          <a:avLst>
            <a:gd name="adj" fmla="val 23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6</xdr:col>
      <xdr:colOff>1280160</xdr:colOff>
      <xdr:row>7</xdr:row>
      <xdr:rowOff>28575</xdr:rowOff>
    </xdr:from>
    <xdr:to>
      <xdr:col>9</xdr:col>
      <xdr:colOff>3810</xdr:colOff>
      <xdr:row>12</xdr:row>
      <xdr:rowOff>114300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5C977B6-E6AF-CB2A-22B9-D3CBF38DEA74}"/>
            </a:ext>
          </a:extLst>
        </xdr:cNvPr>
        <xdr:cNvSpPr/>
      </xdr:nvSpPr>
      <xdr:spPr>
        <a:xfrm>
          <a:off x="7719060" y="1362075"/>
          <a:ext cx="2514600" cy="1038225"/>
        </a:xfrm>
        <a:prstGeom prst="roundRect">
          <a:avLst>
            <a:gd name="adj" fmla="val 23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Purchase</a:t>
          </a:r>
          <a:r>
            <a:rPr lang="en-US" sz="2400" b="1" baseline="0">
              <a:solidFill>
                <a:schemeClr val="tx1"/>
              </a:solidFill>
            </a:rPr>
            <a:t> Amt.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43815</xdr:colOff>
      <xdr:row>7</xdr:row>
      <xdr:rowOff>28575</xdr:rowOff>
    </xdr:from>
    <xdr:to>
      <xdr:col>13</xdr:col>
      <xdr:colOff>120015</xdr:colOff>
      <xdr:row>12</xdr:row>
      <xdr:rowOff>114300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AD7CA05-E5A5-FDBD-8903-BF267D6DBEA2}"/>
            </a:ext>
          </a:extLst>
        </xdr:cNvPr>
        <xdr:cNvSpPr/>
      </xdr:nvSpPr>
      <xdr:spPr>
        <a:xfrm>
          <a:off x="10273665" y="1362075"/>
          <a:ext cx="2514600" cy="1038225"/>
        </a:xfrm>
        <a:prstGeom prst="roundRect">
          <a:avLst>
            <a:gd name="adj" fmla="val 23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Sales</a:t>
          </a:r>
          <a:r>
            <a:rPr lang="en-US" sz="2400" b="1" baseline="0">
              <a:solidFill>
                <a:schemeClr val="tx1"/>
              </a:solidFill>
            </a:rPr>
            <a:t> Amt.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13</xdr:col>
      <xdr:colOff>160020</xdr:colOff>
      <xdr:row>7</xdr:row>
      <xdr:rowOff>28575</xdr:rowOff>
    </xdr:from>
    <xdr:to>
      <xdr:col>16</xdr:col>
      <xdr:colOff>464820</xdr:colOff>
      <xdr:row>12</xdr:row>
      <xdr:rowOff>114300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702EF94-1BB9-C5E9-4239-905A71BAED52}"/>
            </a:ext>
          </a:extLst>
        </xdr:cNvPr>
        <xdr:cNvSpPr/>
      </xdr:nvSpPr>
      <xdr:spPr>
        <a:xfrm>
          <a:off x="12828270" y="1362075"/>
          <a:ext cx="2514600" cy="1038225"/>
        </a:xfrm>
        <a:prstGeom prst="roundRect">
          <a:avLst>
            <a:gd name="adj" fmla="val 23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Stock</a:t>
          </a:r>
          <a:r>
            <a:rPr lang="en-US" sz="2400" b="1" baseline="0">
              <a:solidFill>
                <a:schemeClr val="tx1"/>
              </a:solidFill>
            </a:rPr>
            <a:t> Amt.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16</xdr:col>
      <xdr:colOff>504825</xdr:colOff>
      <xdr:row>7</xdr:row>
      <xdr:rowOff>28575</xdr:rowOff>
    </xdr:from>
    <xdr:to>
      <xdr:col>20</xdr:col>
      <xdr:colOff>581025</xdr:colOff>
      <xdr:row>12</xdr:row>
      <xdr:rowOff>114300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2BC2C75-3611-BC02-7861-5D0AEBB34E3C}"/>
            </a:ext>
          </a:extLst>
        </xdr:cNvPr>
        <xdr:cNvSpPr/>
      </xdr:nvSpPr>
      <xdr:spPr>
        <a:xfrm>
          <a:off x="15382875" y="1362075"/>
          <a:ext cx="2514600" cy="1038225"/>
        </a:xfrm>
        <a:prstGeom prst="roundRect">
          <a:avLst>
            <a:gd name="adj" fmla="val 23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Profit</a:t>
          </a:r>
          <a:r>
            <a:rPr lang="en-US" sz="2400" b="1" baseline="0">
              <a:solidFill>
                <a:schemeClr val="tx1"/>
              </a:solidFill>
            </a:rPr>
            <a:t>/Loss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133350</xdr:colOff>
      <xdr:row>10</xdr:row>
      <xdr:rowOff>41547</xdr:rowOff>
    </xdr:from>
    <xdr:to>
      <xdr:col>5</xdr:col>
      <xdr:colOff>714374</xdr:colOff>
      <xdr:row>12</xdr:row>
      <xdr:rowOff>85725</xdr:rowOff>
    </xdr:to>
    <xdr:sp macro="" textlink="Pivots!C3">
      <xdr:nvSpPr>
        <xdr:cNvPr id="20" name="Rectangle 19">
          <a:extLst>
            <a:ext uri="{FF2B5EF4-FFF2-40B4-BE49-F238E27FC236}">
              <a16:creationId xmlns:a16="http://schemas.microsoft.com/office/drawing/2014/main" id="{51070D75-CDB3-33F2-D64A-22C5F0572D66}"/>
            </a:ext>
          </a:extLst>
        </xdr:cNvPr>
        <xdr:cNvSpPr/>
      </xdr:nvSpPr>
      <xdr:spPr>
        <a:xfrm>
          <a:off x="3552825" y="1946547"/>
          <a:ext cx="1809749" cy="425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85568DAB-D98C-4F86-B50B-4D46D85C6880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7</a:t>
          </a:fld>
          <a:endParaRPr lang="en-US" sz="4400" b="1">
            <a:solidFill>
              <a:srgbClr val="002060"/>
            </a:solidFill>
          </a:endParaRPr>
        </a:p>
      </xdr:txBody>
    </xdr:sp>
    <xdr:clientData/>
  </xdr:twoCellAnchor>
  <xdr:twoCellAnchor editAs="absolute">
    <xdr:from>
      <xdr:col>5</xdr:col>
      <xdr:colOff>1514475</xdr:colOff>
      <xdr:row>9</xdr:row>
      <xdr:rowOff>174897</xdr:rowOff>
    </xdr:from>
    <xdr:to>
      <xdr:col>6</xdr:col>
      <xdr:colOff>1533524</xdr:colOff>
      <xdr:row>12</xdr:row>
      <xdr:rowOff>28575</xdr:rowOff>
    </xdr:to>
    <xdr:sp macro="" textlink="Pivots!C6">
      <xdr:nvSpPr>
        <xdr:cNvPr id="21" name="Rectangle 20">
          <a:extLst>
            <a:ext uri="{FF2B5EF4-FFF2-40B4-BE49-F238E27FC236}">
              <a16:creationId xmlns:a16="http://schemas.microsoft.com/office/drawing/2014/main" id="{C1CBE43F-92D3-A75E-C034-F249187C7E78}"/>
            </a:ext>
          </a:extLst>
        </xdr:cNvPr>
        <xdr:cNvSpPr/>
      </xdr:nvSpPr>
      <xdr:spPr>
        <a:xfrm>
          <a:off x="6162675" y="1889397"/>
          <a:ext cx="1809749" cy="425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0F6AF4A5-F048-4FA3-B6B4-9200C6A28F69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10</a:t>
          </a:fld>
          <a:endParaRPr lang="en-US" sz="9600" b="1">
            <a:solidFill>
              <a:srgbClr val="002060"/>
            </a:solidFill>
          </a:endParaRPr>
        </a:p>
      </xdr:txBody>
    </xdr:sp>
    <xdr:clientData/>
  </xdr:twoCellAnchor>
  <xdr:twoCellAnchor editAs="absolute">
    <xdr:from>
      <xdr:col>9</xdr:col>
      <xdr:colOff>381000</xdr:colOff>
      <xdr:row>10</xdr:row>
      <xdr:rowOff>12972</xdr:rowOff>
    </xdr:from>
    <xdr:to>
      <xdr:col>12</xdr:col>
      <xdr:colOff>600075</xdr:colOff>
      <xdr:row>12</xdr:row>
      <xdr:rowOff>57150</xdr:rowOff>
    </xdr:to>
    <xdr:sp macro="" textlink="Pivots!C13">
      <xdr:nvSpPr>
        <xdr:cNvPr id="23" name="Rectangle 22">
          <a:extLst>
            <a:ext uri="{FF2B5EF4-FFF2-40B4-BE49-F238E27FC236}">
              <a16:creationId xmlns:a16="http://schemas.microsoft.com/office/drawing/2014/main" id="{740DD493-5D26-9705-94CA-A61464BA29DB}"/>
            </a:ext>
          </a:extLst>
        </xdr:cNvPr>
        <xdr:cNvSpPr/>
      </xdr:nvSpPr>
      <xdr:spPr>
        <a:xfrm>
          <a:off x="10610850" y="1917972"/>
          <a:ext cx="2047875" cy="425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C76DD15-4B36-4414-87EC-41EC7B71BAEF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3,288,499 </a:t>
          </a:fld>
          <a:endParaRPr lang="en-US" sz="9600" b="1">
            <a:solidFill>
              <a:srgbClr val="002060"/>
            </a:solidFill>
          </a:endParaRPr>
        </a:p>
      </xdr:txBody>
    </xdr:sp>
    <xdr:clientData/>
  </xdr:twoCellAnchor>
  <xdr:twoCellAnchor editAs="absolute">
    <xdr:from>
      <xdr:col>13</xdr:col>
      <xdr:colOff>409575</xdr:colOff>
      <xdr:row>10</xdr:row>
      <xdr:rowOff>22497</xdr:rowOff>
    </xdr:from>
    <xdr:to>
      <xdr:col>16</xdr:col>
      <xdr:colOff>361950</xdr:colOff>
      <xdr:row>12</xdr:row>
      <xdr:rowOff>66675</xdr:rowOff>
    </xdr:to>
    <xdr:sp macro="" textlink="Pivots!C17">
      <xdr:nvSpPr>
        <xdr:cNvPr id="24" name="Rectangle 23">
          <a:extLst>
            <a:ext uri="{FF2B5EF4-FFF2-40B4-BE49-F238E27FC236}">
              <a16:creationId xmlns:a16="http://schemas.microsoft.com/office/drawing/2014/main" id="{007E25F3-CDE6-B5B2-49C4-659F797AD16A}"/>
            </a:ext>
          </a:extLst>
        </xdr:cNvPr>
        <xdr:cNvSpPr/>
      </xdr:nvSpPr>
      <xdr:spPr>
        <a:xfrm>
          <a:off x="13077825" y="1927497"/>
          <a:ext cx="2162175" cy="425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231B567-0F3C-40AB-8E19-9493E84471F1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2,258,063 </a:t>
          </a:fld>
          <a:endParaRPr lang="en-US" sz="11500" b="1">
            <a:solidFill>
              <a:srgbClr val="002060"/>
            </a:solidFill>
          </a:endParaRPr>
        </a:p>
      </xdr:txBody>
    </xdr:sp>
    <xdr:clientData/>
  </xdr:twoCellAnchor>
  <xdr:twoCellAnchor editAs="absolute">
    <xdr:from>
      <xdr:col>17</xdr:col>
      <xdr:colOff>533400</xdr:colOff>
      <xdr:row>10</xdr:row>
      <xdr:rowOff>41547</xdr:rowOff>
    </xdr:from>
    <xdr:to>
      <xdr:col>20</xdr:col>
      <xdr:colOff>514349</xdr:colOff>
      <xdr:row>12</xdr:row>
      <xdr:rowOff>85725</xdr:rowOff>
    </xdr:to>
    <xdr:sp macro="" textlink="Pivots!C20">
      <xdr:nvSpPr>
        <xdr:cNvPr id="25" name="Rectangle 24">
          <a:extLst>
            <a:ext uri="{FF2B5EF4-FFF2-40B4-BE49-F238E27FC236}">
              <a16:creationId xmlns:a16="http://schemas.microsoft.com/office/drawing/2014/main" id="{D5ED0829-82CB-4A87-A810-1357CFBB7264}"/>
            </a:ext>
          </a:extLst>
        </xdr:cNvPr>
        <xdr:cNvSpPr/>
      </xdr:nvSpPr>
      <xdr:spPr>
        <a:xfrm>
          <a:off x="16021050" y="1946547"/>
          <a:ext cx="1809749" cy="425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12AC5D6A-C735-4FD1-802F-4945DB8E7B16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548,086 </a:t>
          </a:fld>
          <a:endParaRPr lang="en-US" sz="9600" b="1">
            <a:solidFill>
              <a:srgbClr val="002060"/>
            </a:solidFill>
          </a:endParaRPr>
        </a:p>
      </xdr:txBody>
    </xdr:sp>
    <xdr:clientData/>
  </xdr:twoCellAnchor>
  <xdr:twoCellAnchor editAs="absolute">
    <xdr:from>
      <xdr:col>6</xdr:col>
      <xdr:colOff>1838325</xdr:colOff>
      <xdr:row>10</xdr:row>
      <xdr:rowOff>3447</xdr:rowOff>
    </xdr:from>
    <xdr:to>
      <xdr:col>8</xdr:col>
      <xdr:colOff>466724</xdr:colOff>
      <xdr:row>12</xdr:row>
      <xdr:rowOff>47625</xdr:rowOff>
    </xdr:to>
    <xdr:sp macro="" textlink="Pivots!C6">
      <xdr:nvSpPr>
        <xdr:cNvPr id="27" name="Rectangle 26">
          <a:extLst>
            <a:ext uri="{FF2B5EF4-FFF2-40B4-BE49-F238E27FC236}">
              <a16:creationId xmlns:a16="http://schemas.microsoft.com/office/drawing/2014/main" id="{796150D4-EA7C-F419-7508-98865F760694}"/>
            </a:ext>
          </a:extLst>
        </xdr:cNvPr>
        <xdr:cNvSpPr/>
      </xdr:nvSpPr>
      <xdr:spPr>
        <a:xfrm>
          <a:off x="8277225" y="1908447"/>
          <a:ext cx="1809749" cy="425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3200" b="1">
              <a:solidFill>
                <a:schemeClr val="tx1"/>
              </a:solidFill>
            </a:rPr>
            <a:t>4,998,476</a:t>
          </a:r>
        </a:p>
      </xdr:txBody>
    </xdr:sp>
    <xdr:clientData/>
  </xdr:twoCellAnchor>
  <xdr:twoCellAnchor>
    <xdr:from>
      <xdr:col>2</xdr:col>
      <xdr:colOff>209550</xdr:colOff>
      <xdr:row>13</xdr:row>
      <xdr:rowOff>28575</xdr:rowOff>
    </xdr:from>
    <xdr:to>
      <xdr:col>6</xdr:col>
      <xdr:colOff>962025</xdr:colOff>
      <xdr:row>24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50790E-0C62-4A01-AAFA-34FA2C762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1019175</xdr:colOff>
      <xdr:row>13</xdr:row>
      <xdr:rowOff>47625</xdr:rowOff>
    </xdr:from>
    <xdr:to>
      <xdr:col>12</xdr:col>
      <xdr:colOff>504825</xdr:colOff>
      <xdr:row>24</xdr:row>
      <xdr:rowOff>47625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2E2BB7F-B6E2-4D46-A07E-DAB974B6B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209551</xdr:colOff>
      <xdr:row>24</xdr:row>
      <xdr:rowOff>85725</xdr:rowOff>
    </xdr:from>
    <xdr:to>
      <xdr:col>12</xdr:col>
      <xdr:colOff>504825</xdr:colOff>
      <xdr:row>38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E2ECE45-E8BA-41D3-8BA2-82503AAAE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170205</xdr:colOff>
      <xdr:row>9</xdr:row>
      <xdr:rowOff>134399</xdr:rowOff>
    </xdr:from>
    <xdr:to>
      <xdr:col>1</xdr:col>
      <xdr:colOff>2096432</xdr:colOff>
      <xdr:row>11</xdr:row>
      <xdr:rowOff>138754</xdr:rowOff>
    </xdr:to>
    <xdr:sp macro="" textlink="">
      <xdr:nvSpPr>
        <xdr:cNvPr id="63" name="Rectangl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30CA3A-3787-465F-85DC-FA182D96128D}"/>
            </a:ext>
          </a:extLst>
        </xdr:cNvPr>
        <xdr:cNvSpPr/>
      </xdr:nvSpPr>
      <xdr:spPr>
        <a:xfrm>
          <a:off x="170205" y="1943187"/>
          <a:ext cx="2099409" cy="54314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170205</xdr:colOff>
      <xdr:row>11</xdr:row>
      <xdr:rowOff>148900</xdr:rowOff>
    </xdr:from>
    <xdr:to>
      <xdr:col>1</xdr:col>
      <xdr:colOff>2096432</xdr:colOff>
      <xdr:row>13</xdr:row>
      <xdr:rowOff>153254</xdr:rowOff>
    </xdr:to>
    <xdr:sp macro="" textlink="">
      <xdr:nvSpPr>
        <xdr:cNvPr id="64" name="Rectangle 6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09E82D-87BD-47C2-A106-13EE17EE5383}"/>
            </a:ext>
          </a:extLst>
        </xdr:cNvPr>
        <xdr:cNvSpPr/>
      </xdr:nvSpPr>
      <xdr:spPr>
        <a:xfrm>
          <a:off x="170205" y="2496476"/>
          <a:ext cx="2099409" cy="543142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170205</xdr:colOff>
      <xdr:row>15</xdr:row>
      <xdr:rowOff>189171</xdr:rowOff>
    </xdr:from>
    <xdr:to>
      <xdr:col>1</xdr:col>
      <xdr:colOff>2096432</xdr:colOff>
      <xdr:row>18</xdr:row>
      <xdr:rowOff>89342</xdr:rowOff>
    </xdr:to>
    <xdr:sp macro="" textlink="">
      <xdr:nvSpPr>
        <xdr:cNvPr id="65" name="Rectangle 6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1455A1-C165-46D7-8C82-CFBE96E0F36C}"/>
            </a:ext>
          </a:extLst>
        </xdr:cNvPr>
        <xdr:cNvSpPr/>
      </xdr:nvSpPr>
      <xdr:spPr>
        <a:xfrm>
          <a:off x="170205" y="3614323"/>
          <a:ext cx="2099409" cy="554413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170205</xdr:colOff>
      <xdr:row>13</xdr:row>
      <xdr:rowOff>163400</xdr:rowOff>
    </xdr:from>
    <xdr:to>
      <xdr:col>1</xdr:col>
      <xdr:colOff>2096432</xdr:colOff>
      <xdr:row>15</xdr:row>
      <xdr:rowOff>179025</xdr:rowOff>
    </xdr:to>
    <xdr:sp macro="" textlink="">
      <xdr:nvSpPr>
        <xdr:cNvPr id="66" name="Rectangle 6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5C7110-8133-47BD-9F97-52A9DA4EEFE2}"/>
            </a:ext>
          </a:extLst>
        </xdr:cNvPr>
        <xdr:cNvSpPr/>
      </xdr:nvSpPr>
      <xdr:spPr>
        <a:xfrm>
          <a:off x="170205" y="3049764"/>
          <a:ext cx="2099409" cy="554413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170205</xdr:colOff>
      <xdr:row>18</xdr:row>
      <xdr:rowOff>99488</xdr:rowOff>
    </xdr:from>
    <xdr:to>
      <xdr:col>1</xdr:col>
      <xdr:colOff>2096432</xdr:colOff>
      <xdr:row>21</xdr:row>
      <xdr:rowOff>76628</xdr:rowOff>
    </xdr:to>
    <xdr:sp macro="" textlink="">
      <xdr:nvSpPr>
        <xdr:cNvPr id="67" name="Rectangle 6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A4D419-9F00-42A6-B3A0-C2DA6872A31D}"/>
            </a:ext>
          </a:extLst>
        </xdr:cNvPr>
        <xdr:cNvSpPr/>
      </xdr:nvSpPr>
      <xdr:spPr>
        <a:xfrm>
          <a:off x="170205" y="4178882"/>
          <a:ext cx="2099409" cy="554413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170205</xdr:colOff>
      <xdr:row>21</xdr:row>
      <xdr:rowOff>86774</xdr:rowOff>
    </xdr:from>
    <xdr:to>
      <xdr:col>1</xdr:col>
      <xdr:colOff>2096432</xdr:colOff>
      <xdr:row>24</xdr:row>
      <xdr:rowOff>63914</xdr:rowOff>
    </xdr:to>
    <xdr:sp macro="" textlink="">
      <xdr:nvSpPr>
        <xdr:cNvPr id="68" name="Rectangle 6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A31566-0D99-4A2E-9515-8D70F0A5E453}"/>
            </a:ext>
          </a:extLst>
        </xdr:cNvPr>
        <xdr:cNvSpPr/>
      </xdr:nvSpPr>
      <xdr:spPr>
        <a:xfrm>
          <a:off x="170205" y="4743441"/>
          <a:ext cx="2099409" cy="554412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170205</xdr:colOff>
      <xdr:row>24</xdr:row>
      <xdr:rowOff>74060</xdr:rowOff>
    </xdr:from>
    <xdr:to>
      <xdr:col>1</xdr:col>
      <xdr:colOff>2096432</xdr:colOff>
      <xdr:row>27</xdr:row>
      <xdr:rowOff>51200</xdr:rowOff>
    </xdr:to>
    <xdr:sp macro="" textlink="">
      <xdr:nvSpPr>
        <xdr:cNvPr id="69" name="Rectangle 6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E44DE69-A1FA-4D03-A0CB-E4A01AE9BDC3}"/>
            </a:ext>
          </a:extLst>
        </xdr:cNvPr>
        <xdr:cNvSpPr/>
      </xdr:nvSpPr>
      <xdr:spPr>
        <a:xfrm>
          <a:off x="170205" y="5307999"/>
          <a:ext cx="2099409" cy="554413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170205</xdr:colOff>
      <xdr:row>27</xdr:row>
      <xdr:rowOff>61345</xdr:rowOff>
    </xdr:from>
    <xdr:to>
      <xdr:col>1</xdr:col>
      <xdr:colOff>2096432</xdr:colOff>
      <xdr:row>30</xdr:row>
      <xdr:rowOff>38485</xdr:rowOff>
    </xdr:to>
    <xdr:sp macro="" textlink="">
      <xdr:nvSpPr>
        <xdr:cNvPr id="70" name="Rectangle 6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2CD97DE-F747-4D88-914F-1925E45D7613}"/>
            </a:ext>
          </a:extLst>
        </xdr:cNvPr>
        <xdr:cNvSpPr/>
      </xdr:nvSpPr>
      <xdr:spPr>
        <a:xfrm>
          <a:off x="170205" y="5872557"/>
          <a:ext cx="2099409" cy="554413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>
    <xdr:from>
      <xdr:col>0</xdr:col>
      <xdr:colOff>0</xdr:colOff>
      <xdr:row>5</xdr:row>
      <xdr:rowOff>114300</xdr:rowOff>
    </xdr:from>
    <xdr:to>
      <xdr:col>2</xdr:col>
      <xdr:colOff>127991</xdr:colOff>
      <xdr:row>9</xdr:row>
      <xdr:rowOff>9525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A6182865-4AB5-4787-BC00-8E7785CA15EC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oneCell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62" name="Picture 61" descr="Inventory - Free industry icons">
          <a:extLst>
            <a:ext uri="{FF2B5EF4-FFF2-40B4-BE49-F238E27FC236}">
              <a16:creationId xmlns:a16="http://schemas.microsoft.com/office/drawing/2014/main" id="{FE2D08A7-55C0-4E76-A117-C1C4815A4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1</xdr:row>
      <xdr:rowOff>0</xdr:rowOff>
    </xdr:from>
    <xdr:to>
      <xdr:col>21</xdr:col>
      <xdr:colOff>190500</xdr:colOff>
      <xdr:row>6</xdr:row>
      <xdr:rowOff>66675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63A2C99-88A3-4B96-B48F-3F0EF398B36B}"/>
            </a:ext>
          </a:extLst>
        </xdr:cNvPr>
        <xdr:cNvSpPr/>
      </xdr:nvSpPr>
      <xdr:spPr>
        <a:xfrm>
          <a:off x="2543175" y="190500"/>
          <a:ext cx="15182850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A295AA-FE5A-4A08-A293-5426FD37EB9C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D9D31D3-2FCC-41C3-9F23-607E7CD82FFC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58AE421-120E-4315-99BC-59A19973237F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E00809-DA9A-4A17-8A97-BF713BC41D94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F411F54-64ED-40FC-A5EC-03F2F87843F6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6C1BB4-C1DB-4749-BE61-AC0E2B01BC45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E6BA2A8-06EB-42AF-B10C-121FF28AD5D7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937CB72-DCC9-4310-830B-BE584F75D034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8</xdr:row>
      <xdr:rowOff>200025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DC4E11F-2316-4548-86F9-0CCB4A36C975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22" name="Picture 21" descr="Inventory - Free industry icons">
          <a:extLst>
            <a:ext uri="{FF2B5EF4-FFF2-40B4-BE49-F238E27FC236}">
              <a16:creationId xmlns:a16="http://schemas.microsoft.com/office/drawing/2014/main" id="{3D0EB906-7C2C-496E-8EF3-33819EC8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9</xdr:row>
      <xdr:rowOff>216694</xdr:rowOff>
    </xdr:from>
    <xdr:to>
      <xdr:col>1</xdr:col>
      <xdr:colOff>2072284</xdr:colOff>
      <xdr:row>11</xdr:row>
      <xdr:rowOff>188119</xdr:rowOff>
    </xdr:to>
    <xdr:sp macro="" textlink="">
      <xdr:nvSpPr>
        <xdr:cNvPr id="23" name="Rectangle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42C851-22D1-44EB-909F-3FC01F15ED57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11</xdr:row>
      <xdr:rowOff>252413</xdr:rowOff>
    </xdr:from>
    <xdr:to>
      <xdr:col>1</xdr:col>
      <xdr:colOff>2072284</xdr:colOff>
      <xdr:row>13</xdr:row>
      <xdr:rowOff>223838</xdr:rowOff>
    </xdr:to>
    <xdr:sp macro="" textlink="">
      <xdr:nvSpPr>
        <xdr:cNvPr id="24" name="Rectangle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C6D6EF-03F9-4EDE-B205-7951B005A700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16</xdr:row>
      <xdr:rowOff>38101</xdr:rowOff>
    </xdr:from>
    <xdr:to>
      <xdr:col>1</xdr:col>
      <xdr:colOff>2072284</xdr:colOff>
      <xdr:row>18</xdr:row>
      <xdr:rowOff>9526</xdr:rowOff>
    </xdr:to>
    <xdr:sp macro="" textlink="">
      <xdr:nvSpPr>
        <xdr:cNvPr id="25" name="Rectangle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DC5596-46DB-47C5-A220-167491890624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14</xdr:row>
      <xdr:rowOff>11907</xdr:rowOff>
    </xdr:from>
    <xdr:to>
      <xdr:col>1</xdr:col>
      <xdr:colOff>2072284</xdr:colOff>
      <xdr:row>15</xdr:row>
      <xdr:rowOff>250032</xdr:rowOff>
    </xdr:to>
    <xdr:sp macro="" textlink="">
      <xdr:nvSpPr>
        <xdr:cNvPr id="26" name="Rectangle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26D88D-A9C0-490C-8773-41DE8D1109A4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18</xdr:row>
      <xdr:rowOff>64295</xdr:rowOff>
    </xdr:from>
    <xdr:to>
      <xdr:col>1</xdr:col>
      <xdr:colOff>2072284</xdr:colOff>
      <xdr:row>20</xdr:row>
      <xdr:rowOff>35720</xdr:rowOff>
    </xdr:to>
    <xdr:sp macro="" textlink="">
      <xdr:nvSpPr>
        <xdr:cNvPr id="27" name="Rectangle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71402B-6DAF-4F26-B6F5-E9DDB14D0436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20</xdr:row>
      <xdr:rowOff>90489</xdr:rowOff>
    </xdr:from>
    <xdr:to>
      <xdr:col>1</xdr:col>
      <xdr:colOff>2072284</xdr:colOff>
      <xdr:row>22</xdr:row>
      <xdr:rowOff>61914</xdr:rowOff>
    </xdr:to>
    <xdr:sp macro="" textlink="">
      <xdr:nvSpPr>
        <xdr:cNvPr id="28" name="Rectangle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1DECF6-261C-4E6D-80CA-2F326D1C7FBB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22</xdr:row>
      <xdr:rowOff>116683</xdr:rowOff>
    </xdr:from>
    <xdr:to>
      <xdr:col>1</xdr:col>
      <xdr:colOff>2072284</xdr:colOff>
      <xdr:row>24</xdr:row>
      <xdr:rowOff>164308</xdr:rowOff>
    </xdr:to>
    <xdr:sp macro="" textlink="">
      <xdr:nvSpPr>
        <xdr:cNvPr id="29" name="Rectangle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98E182-B594-4529-A367-43084ABC896C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25</xdr:row>
      <xdr:rowOff>28575</xdr:rowOff>
    </xdr:from>
    <xdr:to>
      <xdr:col>1</xdr:col>
      <xdr:colOff>2072284</xdr:colOff>
      <xdr:row>27</xdr:row>
      <xdr:rowOff>152400</xdr:rowOff>
    </xdr:to>
    <xdr:sp macro="" textlink="">
      <xdr:nvSpPr>
        <xdr:cNvPr id="30" name="Rectangle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71EC752-E925-4A2C-A409-A2860CA91ECE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9525</xdr:colOff>
      <xdr:row>1</xdr:row>
      <xdr:rowOff>0</xdr:rowOff>
    </xdr:from>
    <xdr:to>
      <xdr:col>23</xdr:col>
      <xdr:colOff>314326</xdr:colOff>
      <xdr:row>6</xdr:row>
      <xdr:rowOff>66675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84A303A-906C-483E-A81B-5B4CDF561A6D}"/>
            </a:ext>
          </a:extLst>
        </xdr:cNvPr>
        <xdr:cNvSpPr/>
      </xdr:nvSpPr>
      <xdr:spPr>
        <a:xfrm>
          <a:off x="2562225" y="190500"/>
          <a:ext cx="15020926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products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19ED19-D1DE-4BCF-BDEE-1819937762A0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0F02D9A-0F52-40F0-9DE8-C937C1DB9B52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72BDFAF-262D-4FE0-B373-484476BF126B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6B4C076-BF45-44E9-B16C-7D768ACF4DEF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10AFFCB-F158-4402-B250-D944EC8B207D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0B9C384-9B1F-4F6C-98A8-0F7FD3CC6B3D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BC502C-B3CA-4B0E-A050-56D4C04E1754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844E3F6-16DB-43D9-8FA4-734B52207B9F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8</xdr:row>
      <xdr:rowOff>200025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C9AC38-A75A-475C-A377-65A4176C6432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3" name="Picture 2" descr="Inventory - Free industry icons">
          <a:extLst>
            <a:ext uri="{FF2B5EF4-FFF2-40B4-BE49-F238E27FC236}">
              <a16:creationId xmlns:a16="http://schemas.microsoft.com/office/drawing/2014/main" id="{71CFF7FF-C03A-4C09-9834-9A41D7D1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9</xdr:row>
      <xdr:rowOff>216694</xdr:rowOff>
    </xdr:from>
    <xdr:to>
      <xdr:col>1</xdr:col>
      <xdr:colOff>2072284</xdr:colOff>
      <xdr:row>11</xdr:row>
      <xdr:rowOff>188119</xdr:rowOff>
    </xdr:to>
    <xdr:sp macro="" textlink="">
      <xdr:nvSpPr>
        <xdr:cNvPr id="12" name="Rectang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9F4147-DD40-498B-93FB-74314F8E1854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11</xdr:row>
      <xdr:rowOff>252413</xdr:rowOff>
    </xdr:from>
    <xdr:to>
      <xdr:col>1</xdr:col>
      <xdr:colOff>2072284</xdr:colOff>
      <xdr:row>13</xdr:row>
      <xdr:rowOff>223838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F8B144-3665-4C9D-B603-CCE34480E527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16</xdr:row>
      <xdr:rowOff>38101</xdr:rowOff>
    </xdr:from>
    <xdr:to>
      <xdr:col>1</xdr:col>
      <xdr:colOff>2072284</xdr:colOff>
      <xdr:row>18</xdr:row>
      <xdr:rowOff>9526</xdr:rowOff>
    </xdr:to>
    <xdr:sp macro="" textlink="">
      <xdr:nvSpPr>
        <xdr:cNvPr id="14" name="Rectang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9C9426-93E2-4B5F-AF9B-76C55B03155D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14</xdr:row>
      <xdr:rowOff>11907</xdr:rowOff>
    </xdr:from>
    <xdr:to>
      <xdr:col>1</xdr:col>
      <xdr:colOff>2072284</xdr:colOff>
      <xdr:row>15</xdr:row>
      <xdr:rowOff>250032</xdr:rowOff>
    </xdr:to>
    <xdr:sp macro="" textlink="">
      <xdr:nvSpPr>
        <xdr:cNvPr id="15" name="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2FC3E5-6CED-4F28-819A-933E58D5C1EB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18</xdr:row>
      <xdr:rowOff>64295</xdr:rowOff>
    </xdr:from>
    <xdr:to>
      <xdr:col>1</xdr:col>
      <xdr:colOff>2072284</xdr:colOff>
      <xdr:row>20</xdr:row>
      <xdr:rowOff>35720</xdr:rowOff>
    </xdr:to>
    <xdr:sp macro="" textlink="">
      <xdr:nvSpPr>
        <xdr:cNvPr id="16" name="Rectang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2AC62C-0ABE-4DF3-AFC2-1848F645AA4E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20</xdr:row>
      <xdr:rowOff>90489</xdr:rowOff>
    </xdr:from>
    <xdr:to>
      <xdr:col>1</xdr:col>
      <xdr:colOff>2072284</xdr:colOff>
      <xdr:row>23</xdr:row>
      <xdr:rowOff>23814</xdr:rowOff>
    </xdr:to>
    <xdr:sp macro="" textlink="">
      <xdr:nvSpPr>
        <xdr:cNvPr id="17" name="Rectang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C5789C-CBDE-4C2D-961A-75216CD7F48C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23</xdr:row>
      <xdr:rowOff>78583</xdr:rowOff>
    </xdr:from>
    <xdr:to>
      <xdr:col>1</xdr:col>
      <xdr:colOff>2072284</xdr:colOff>
      <xdr:row>26</xdr:row>
      <xdr:rowOff>11908</xdr:rowOff>
    </xdr:to>
    <xdr:sp macro="" textlink="">
      <xdr:nvSpPr>
        <xdr:cNvPr id="18" name="Rectangl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B384B08-1669-4B77-BB54-10BECA46E10F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26</xdr:row>
      <xdr:rowOff>66675</xdr:rowOff>
    </xdr:from>
    <xdr:to>
      <xdr:col>1</xdr:col>
      <xdr:colOff>2072284</xdr:colOff>
      <xdr:row>29</xdr:row>
      <xdr:rowOff>0</xdr:rowOff>
    </xdr:to>
    <xdr:sp macro="" textlink="">
      <xdr:nvSpPr>
        <xdr:cNvPr id="19" name="Rectangle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38E389-4017-47CF-98AB-4D741E0BB21C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0</xdr:colOff>
      <xdr:row>1</xdr:row>
      <xdr:rowOff>0</xdr:rowOff>
    </xdr:from>
    <xdr:to>
      <xdr:col>20</xdr:col>
      <xdr:colOff>180976</xdr:colOff>
      <xdr:row>6</xdr:row>
      <xdr:rowOff>66675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C2B31A4-DEAC-4484-8F8C-4227708D53D0}"/>
            </a:ext>
          </a:extLst>
        </xdr:cNvPr>
        <xdr:cNvSpPr/>
      </xdr:nvSpPr>
      <xdr:spPr>
        <a:xfrm>
          <a:off x="2562225" y="190500"/>
          <a:ext cx="15020926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Vendors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A4B62D1-F2C1-4CC8-ABF6-861820506D57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49BA76C-6497-4B3E-8327-483B376462AD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5CE80C6-C723-4892-AE53-C5917AAC0586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6B21AB9-20A2-43D2-880E-B008D4089460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56E591F-84E9-4CB5-B769-73C86639422F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63BFC4D-0E7E-4571-9DD9-F3D9D8798333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BE58528-84FE-428F-A8AE-0C533800C9D7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7EF9F7B-EE06-4AD3-A521-B8EF1A861FE8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9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3086BA-3595-4A91-8C5C-146666383749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3" name="Picture 2" descr="Inventory - Free industry icons">
          <a:extLst>
            <a:ext uri="{FF2B5EF4-FFF2-40B4-BE49-F238E27FC236}">
              <a16:creationId xmlns:a16="http://schemas.microsoft.com/office/drawing/2014/main" id="{E05FFD1E-37B3-45FB-A644-188FE4FA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9</xdr:row>
      <xdr:rowOff>292894</xdr:rowOff>
    </xdr:from>
    <xdr:to>
      <xdr:col>1</xdr:col>
      <xdr:colOff>2072284</xdr:colOff>
      <xdr:row>10</xdr:row>
      <xdr:rowOff>207169</xdr:rowOff>
    </xdr:to>
    <xdr:sp macro="" textlink="">
      <xdr:nvSpPr>
        <xdr:cNvPr id="12" name="Rectang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5BEA4-57C3-4820-B3CD-3B7CA06CD216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10</xdr:row>
      <xdr:rowOff>271463</xdr:rowOff>
    </xdr:from>
    <xdr:to>
      <xdr:col>1</xdr:col>
      <xdr:colOff>2072284</xdr:colOff>
      <xdr:row>11</xdr:row>
      <xdr:rowOff>185738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D16FFE-7D4C-4899-BA83-CAA1F3AF3E88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15</xdr:row>
      <xdr:rowOff>38101</xdr:rowOff>
    </xdr:from>
    <xdr:to>
      <xdr:col>1</xdr:col>
      <xdr:colOff>2072284</xdr:colOff>
      <xdr:row>17</xdr:row>
      <xdr:rowOff>161926</xdr:rowOff>
    </xdr:to>
    <xdr:sp macro="" textlink="">
      <xdr:nvSpPr>
        <xdr:cNvPr id="14" name="Rectang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A4AFDA-8936-4DE9-9A5A-38144D6B0BCC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12</xdr:row>
      <xdr:rowOff>50007</xdr:rowOff>
    </xdr:from>
    <xdr:to>
      <xdr:col>1</xdr:col>
      <xdr:colOff>2072284</xdr:colOff>
      <xdr:row>14</xdr:row>
      <xdr:rowOff>173832</xdr:rowOff>
    </xdr:to>
    <xdr:sp macro="" textlink="">
      <xdr:nvSpPr>
        <xdr:cNvPr id="15" name="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97311F-CAF0-47AD-ACEA-D8888C17761A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18</xdr:row>
      <xdr:rowOff>26195</xdr:rowOff>
    </xdr:from>
    <xdr:to>
      <xdr:col>1</xdr:col>
      <xdr:colOff>2072284</xdr:colOff>
      <xdr:row>20</xdr:row>
      <xdr:rowOff>150020</xdr:rowOff>
    </xdr:to>
    <xdr:sp macro="" textlink="">
      <xdr:nvSpPr>
        <xdr:cNvPr id="16" name="Rectang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BB267E1-5021-4D56-B89F-0A36AA5D9A9F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21</xdr:row>
      <xdr:rowOff>14289</xdr:rowOff>
    </xdr:from>
    <xdr:to>
      <xdr:col>1</xdr:col>
      <xdr:colOff>2072284</xdr:colOff>
      <xdr:row>23</xdr:row>
      <xdr:rowOff>138114</xdr:rowOff>
    </xdr:to>
    <xdr:sp macro="" textlink="">
      <xdr:nvSpPr>
        <xdr:cNvPr id="17" name="Rectang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98E4DA-4AD3-4679-B59D-1266063F76FF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24</xdr:row>
      <xdr:rowOff>2383</xdr:rowOff>
    </xdr:from>
    <xdr:to>
      <xdr:col>1</xdr:col>
      <xdr:colOff>2072284</xdr:colOff>
      <xdr:row>26</xdr:row>
      <xdr:rowOff>126208</xdr:rowOff>
    </xdr:to>
    <xdr:sp macro="" textlink="">
      <xdr:nvSpPr>
        <xdr:cNvPr id="18" name="Rectangl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27764FE-A1AA-4375-9A23-0F845030EA67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26</xdr:row>
      <xdr:rowOff>180975</xdr:rowOff>
    </xdr:from>
    <xdr:to>
      <xdr:col>1</xdr:col>
      <xdr:colOff>2072284</xdr:colOff>
      <xdr:row>29</xdr:row>
      <xdr:rowOff>114300</xdr:rowOff>
    </xdr:to>
    <xdr:sp macro="" textlink="">
      <xdr:nvSpPr>
        <xdr:cNvPr id="19" name="Rectangle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A809AB-43B8-4572-BDB5-365878641409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19050</xdr:colOff>
      <xdr:row>1</xdr:row>
      <xdr:rowOff>0</xdr:rowOff>
    </xdr:from>
    <xdr:to>
      <xdr:col>23</xdr:col>
      <xdr:colOff>457201</xdr:colOff>
      <xdr:row>6</xdr:row>
      <xdr:rowOff>66675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621FFA-54EA-4C42-8BB6-E2E13F05FEF6}"/>
            </a:ext>
          </a:extLst>
        </xdr:cNvPr>
        <xdr:cNvSpPr/>
      </xdr:nvSpPr>
      <xdr:spPr>
        <a:xfrm>
          <a:off x="2562225" y="190500"/>
          <a:ext cx="15020926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New</a:t>
          </a:r>
          <a:r>
            <a:rPr lang="en-US" sz="4000" b="1" baseline="0">
              <a:solidFill>
                <a:schemeClr val="tx1"/>
              </a:solidFill>
            </a:rPr>
            <a:t> Entry</a:t>
          </a:r>
          <a:endParaRPr lang="en-US" sz="40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A16947-1A27-4C4F-BA96-F891E5F7FA3E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7B4221-D1FF-49E2-87BA-E399D5AADBB5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F3B65AF-5AAA-4A6C-A2F7-82C4D88A5358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41EAB6F-226F-47AD-A163-1AC3BDC43082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D077D7B-57F1-4712-A6B8-ACA1FB88C97B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CA3837-7B71-48D7-88FB-ABD14A47A563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CF01FCA-BE63-4F4C-8415-EA16447443EA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3D10746-A77A-4D16-812D-1B2DF23AE360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8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9D60FC-1C67-4EA2-A166-D0F9A06F0821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3" name="Picture 2" descr="Inventory - Free industry icons">
          <a:extLst>
            <a:ext uri="{FF2B5EF4-FFF2-40B4-BE49-F238E27FC236}">
              <a16:creationId xmlns:a16="http://schemas.microsoft.com/office/drawing/2014/main" id="{5471E19F-0713-46B7-849E-8D822814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10</xdr:row>
      <xdr:rowOff>26194</xdr:rowOff>
    </xdr:from>
    <xdr:to>
      <xdr:col>1</xdr:col>
      <xdr:colOff>2072284</xdr:colOff>
      <xdr:row>12</xdr:row>
      <xdr:rowOff>150019</xdr:rowOff>
    </xdr:to>
    <xdr:sp macro="" textlink="">
      <xdr:nvSpPr>
        <xdr:cNvPr id="12" name="Rectang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02091E-5BCF-4F55-8AE4-69AAAAA35FFA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13</xdr:row>
      <xdr:rowOff>23813</xdr:rowOff>
    </xdr:from>
    <xdr:to>
      <xdr:col>1</xdr:col>
      <xdr:colOff>2072284</xdr:colOff>
      <xdr:row>15</xdr:row>
      <xdr:rowOff>147638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77078E-F874-4CF9-998A-09AB6011C691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19</xdr:row>
      <xdr:rowOff>1</xdr:rowOff>
    </xdr:from>
    <xdr:to>
      <xdr:col>1</xdr:col>
      <xdr:colOff>2072284</xdr:colOff>
      <xdr:row>21</xdr:row>
      <xdr:rowOff>123826</xdr:rowOff>
    </xdr:to>
    <xdr:sp macro="" textlink="">
      <xdr:nvSpPr>
        <xdr:cNvPr id="14" name="Rectang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84E0D8-609C-471D-9B61-3747863EBEEE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16</xdr:row>
      <xdr:rowOff>11907</xdr:rowOff>
    </xdr:from>
    <xdr:to>
      <xdr:col>1</xdr:col>
      <xdr:colOff>2072284</xdr:colOff>
      <xdr:row>18</xdr:row>
      <xdr:rowOff>135732</xdr:rowOff>
    </xdr:to>
    <xdr:sp macro="" textlink="">
      <xdr:nvSpPr>
        <xdr:cNvPr id="15" name="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9E282F-2A7D-45E0-A93A-0A330B056B6A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21</xdr:row>
      <xdr:rowOff>178595</xdr:rowOff>
    </xdr:from>
    <xdr:to>
      <xdr:col>1</xdr:col>
      <xdr:colOff>2072284</xdr:colOff>
      <xdr:row>24</xdr:row>
      <xdr:rowOff>111920</xdr:rowOff>
    </xdr:to>
    <xdr:sp macro="" textlink="">
      <xdr:nvSpPr>
        <xdr:cNvPr id="16" name="Rectang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49B82A-415D-47E8-BFFC-B6C8F0F33108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24</xdr:row>
      <xdr:rowOff>166689</xdr:rowOff>
    </xdr:from>
    <xdr:to>
      <xdr:col>1</xdr:col>
      <xdr:colOff>2072284</xdr:colOff>
      <xdr:row>27</xdr:row>
      <xdr:rowOff>100014</xdr:rowOff>
    </xdr:to>
    <xdr:sp macro="" textlink="">
      <xdr:nvSpPr>
        <xdr:cNvPr id="17" name="Rectang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437A43-9C79-4486-AD5A-0732CDD72AC0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27</xdr:row>
      <xdr:rowOff>154783</xdr:rowOff>
    </xdr:from>
    <xdr:to>
      <xdr:col>1</xdr:col>
      <xdr:colOff>2072284</xdr:colOff>
      <xdr:row>30</xdr:row>
      <xdr:rowOff>88108</xdr:rowOff>
    </xdr:to>
    <xdr:sp macro="" textlink="">
      <xdr:nvSpPr>
        <xdr:cNvPr id="18" name="Rectangl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C46E36F-A10B-43E6-B388-532D82B29B2B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30</xdr:row>
      <xdr:rowOff>142875</xdr:rowOff>
    </xdr:from>
    <xdr:to>
      <xdr:col>1</xdr:col>
      <xdr:colOff>2072284</xdr:colOff>
      <xdr:row>33</xdr:row>
      <xdr:rowOff>76200</xdr:rowOff>
    </xdr:to>
    <xdr:sp macro="" textlink="">
      <xdr:nvSpPr>
        <xdr:cNvPr id="19" name="Rectangle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265170-A659-4812-8327-E860004846FF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9525</xdr:colOff>
      <xdr:row>1</xdr:row>
      <xdr:rowOff>0</xdr:rowOff>
    </xdr:from>
    <xdr:to>
      <xdr:col>22</xdr:col>
      <xdr:colOff>523876</xdr:colOff>
      <xdr:row>6</xdr:row>
      <xdr:rowOff>66675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0A9D80E-9F07-4311-B874-7EFA3847F680}"/>
            </a:ext>
          </a:extLst>
        </xdr:cNvPr>
        <xdr:cNvSpPr/>
      </xdr:nvSpPr>
      <xdr:spPr>
        <a:xfrm>
          <a:off x="2562225" y="190500"/>
          <a:ext cx="15020926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C948591-CE6C-40B9-9F4D-CCEFF9AF74CE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BC8A87E-6FE7-43DC-BE93-78851B65CEF2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7B125D-30F9-4263-A67B-8DBC964DD11F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02C02CD-AFA5-40CF-B3A7-0ADB75849806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539BA63-FE98-404D-9336-6710F96C9A1B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6EE0B4B-71F0-478B-8E8D-3AE429DEFA6E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1A4D3DB-AAAF-419F-B0E2-BFE84F35718A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E41A88E-1B5B-43DB-95A2-D489BD28910E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7</xdr:row>
      <xdr:rowOff>390525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514677-93F2-4718-98B7-4B45C6ADFA98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3" name="Picture 2" descr="Inventory - Free industry icons">
          <a:extLst>
            <a:ext uri="{FF2B5EF4-FFF2-40B4-BE49-F238E27FC236}">
              <a16:creationId xmlns:a16="http://schemas.microsoft.com/office/drawing/2014/main" id="{4BA03F77-3228-4D2E-9DCA-43B81A09F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9</xdr:row>
      <xdr:rowOff>83344</xdr:rowOff>
    </xdr:from>
    <xdr:to>
      <xdr:col>1</xdr:col>
      <xdr:colOff>2072284</xdr:colOff>
      <xdr:row>12</xdr:row>
      <xdr:rowOff>16669</xdr:rowOff>
    </xdr:to>
    <xdr:sp macro="" textlink="">
      <xdr:nvSpPr>
        <xdr:cNvPr id="12" name="Rectang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217BE8-6D95-4DFA-8161-83DC45608067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12</xdr:row>
      <xdr:rowOff>80963</xdr:rowOff>
    </xdr:from>
    <xdr:to>
      <xdr:col>1</xdr:col>
      <xdr:colOff>2072284</xdr:colOff>
      <xdr:row>15</xdr:row>
      <xdr:rowOff>14288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AED0F3-7E9B-4883-AD36-B8BEEC7A6DC6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18</xdr:row>
      <xdr:rowOff>57151</xdr:rowOff>
    </xdr:from>
    <xdr:to>
      <xdr:col>1</xdr:col>
      <xdr:colOff>2072284</xdr:colOff>
      <xdr:row>20</xdr:row>
      <xdr:rowOff>180976</xdr:rowOff>
    </xdr:to>
    <xdr:sp macro="" textlink="">
      <xdr:nvSpPr>
        <xdr:cNvPr id="14" name="Rectang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61A594-AF90-4A1A-8197-AEF205606D4B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15</xdr:row>
      <xdr:rowOff>69057</xdr:rowOff>
    </xdr:from>
    <xdr:to>
      <xdr:col>1</xdr:col>
      <xdr:colOff>2072284</xdr:colOff>
      <xdr:row>18</xdr:row>
      <xdr:rowOff>2382</xdr:rowOff>
    </xdr:to>
    <xdr:sp macro="" textlink="">
      <xdr:nvSpPr>
        <xdr:cNvPr id="15" name="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EF47A53-95A7-400E-A644-6989433F73F9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21</xdr:row>
      <xdr:rowOff>45245</xdr:rowOff>
    </xdr:from>
    <xdr:to>
      <xdr:col>1</xdr:col>
      <xdr:colOff>2072284</xdr:colOff>
      <xdr:row>23</xdr:row>
      <xdr:rowOff>169070</xdr:rowOff>
    </xdr:to>
    <xdr:sp macro="" textlink="">
      <xdr:nvSpPr>
        <xdr:cNvPr id="16" name="Rectang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2219336-B467-4FED-887A-4386D9C768ED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24</xdr:row>
      <xdr:rowOff>33339</xdr:rowOff>
    </xdr:from>
    <xdr:to>
      <xdr:col>1</xdr:col>
      <xdr:colOff>2072284</xdr:colOff>
      <xdr:row>26</xdr:row>
      <xdr:rowOff>157164</xdr:rowOff>
    </xdr:to>
    <xdr:sp macro="" textlink="">
      <xdr:nvSpPr>
        <xdr:cNvPr id="17" name="Rectang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0BAE19-4F9E-4F9C-910D-86B6DCFB480A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27</xdr:row>
      <xdr:rowOff>21433</xdr:rowOff>
    </xdr:from>
    <xdr:to>
      <xdr:col>1</xdr:col>
      <xdr:colOff>2072284</xdr:colOff>
      <xdr:row>29</xdr:row>
      <xdr:rowOff>145258</xdr:rowOff>
    </xdr:to>
    <xdr:sp macro="" textlink="">
      <xdr:nvSpPr>
        <xdr:cNvPr id="18" name="Rectangl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00B687A-6C1A-4CF6-90B5-C0024F5C6AA8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30</xdr:row>
      <xdr:rowOff>9525</xdr:rowOff>
    </xdr:from>
    <xdr:to>
      <xdr:col>1</xdr:col>
      <xdr:colOff>2072284</xdr:colOff>
      <xdr:row>32</xdr:row>
      <xdr:rowOff>133350</xdr:rowOff>
    </xdr:to>
    <xdr:sp macro="" textlink="">
      <xdr:nvSpPr>
        <xdr:cNvPr id="19" name="Rectangle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46A8FA-314B-40EE-B8FE-8F7C03AFB371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9525</xdr:colOff>
      <xdr:row>1</xdr:row>
      <xdr:rowOff>0</xdr:rowOff>
    </xdr:from>
    <xdr:to>
      <xdr:col>15</xdr:col>
      <xdr:colOff>114301</xdr:colOff>
      <xdr:row>6</xdr:row>
      <xdr:rowOff>66675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AC5D9F5-9024-4976-B66D-558B5F8128D2}"/>
            </a:ext>
          </a:extLst>
        </xdr:cNvPr>
        <xdr:cNvSpPr/>
      </xdr:nvSpPr>
      <xdr:spPr>
        <a:xfrm>
          <a:off x="2562225" y="190500"/>
          <a:ext cx="15020926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764C23B-6646-401D-991B-D04E0E1F1607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C88DCE-2116-4700-86B3-D5689CE445A8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62B85BC-EF76-4D4A-934A-A863FB414DB1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DE6002D-C7B9-4C28-B5AA-DC99D99CACE7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47EF116-1CD8-49B2-9572-7A14AD29EA0F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C66BFF6-00F0-4420-9154-AD46D3485024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0ADF15B-21F8-49CF-B95A-1F30EC0DEFDD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ED839BD-D421-4E6B-B272-2119085679CA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0</xdr:col>
      <xdr:colOff>0</xdr:colOff>
      <xdr:row>5</xdr:row>
      <xdr:rowOff>114300</xdr:rowOff>
    </xdr:from>
    <xdr:to>
      <xdr:col>2</xdr:col>
      <xdr:colOff>127991</xdr:colOff>
      <xdr:row>8</xdr:row>
      <xdr:rowOff>200025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0BC9A2-28A0-45DB-85DE-CA28E2A98DD5}"/>
            </a:ext>
          </a:extLst>
        </xdr:cNvPr>
        <xdr:cNvSpPr/>
      </xdr:nvSpPr>
      <xdr:spPr>
        <a:xfrm>
          <a:off x="0" y="1066800"/>
          <a:ext cx="2394941" cy="657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2060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638175</xdr:colOff>
      <xdr:row>1</xdr:row>
      <xdr:rowOff>95250</xdr:rowOff>
    </xdr:from>
    <xdr:to>
      <xdr:col>1</xdr:col>
      <xdr:colOff>1428750</xdr:colOff>
      <xdr:row>5</xdr:row>
      <xdr:rowOff>55504</xdr:rowOff>
    </xdr:to>
    <xdr:pic>
      <xdr:nvPicPr>
        <xdr:cNvPr id="3" name="Picture 2" descr="Inventory - Free industry icons">
          <a:extLst>
            <a:ext uri="{FF2B5EF4-FFF2-40B4-BE49-F238E27FC236}">
              <a16:creationId xmlns:a16="http://schemas.microsoft.com/office/drawing/2014/main" id="{D6899362-DD86-48A7-918D-066AB112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0"/>
          <a:ext cx="790575" cy="722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167284</xdr:colOff>
      <xdr:row>9</xdr:row>
      <xdr:rowOff>150019</xdr:rowOff>
    </xdr:from>
    <xdr:to>
      <xdr:col>1</xdr:col>
      <xdr:colOff>2072284</xdr:colOff>
      <xdr:row>11</xdr:row>
      <xdr:rowOff>121444</xdr:rowOff>
    </xdr:to>
    <xdr:sp macro="" textlink="">
      <xdr:nvSpPr>
        <xdr:cNvPr id="12" name="Rectang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CA55D0-F9B4-4F9C-91DB-B03041487B72}"/>
            </a:ext>
          </a:extLst>
        </xdr:cNvPr>
        <xdr:cNvSpPr/>
      </xdr:nvSpPr>
      <xdr:spPr>
        <a:xfrm>
          <a:off x="167284" y="2007394"/>
          <a:ext cx="207645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0</xdr:col>
      <xdr:colOff>167284</xdr:colOff>
      <xdr:row>11</xdr:row>
      <xdr:rowOff>185738</xdr:rowOff>
    </xdr:from>
    <xdr:to>
      <xdr:col>1</xdr:col>
      <xdr:colOff>2072284</xdr:colOff>
      <xdr:row>13</xdr:row>
      <xdr:rowOff>157163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6D3467-ABD2-4BD5-A35D-7769A4740FC9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0</xdr:col>
      <xdr:colOff>167284</xdr:colOff>
      <xdr:row>15</xdr:row>
      <xdr:rowOff>238126</xdr:rowOff>
    </xdr:from>
    <xdr:to>
      <xdr:col>1</xdr:col>
      <xdr:colOff>2072284</xdr:colOff>
      <xdr:row>17</xdr:row>
      <xdr:rowOff>209551</xdr:rowOff>
    </xdr:to>
    <xdr:sp macro="" textlink="">
      <xdr:nvSpPr>
        <xdr:cNvPr id="14" name="Rectang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879E9B-13AC-48EB-AC8A-63ED7B178A18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0</xdr:col>
      <xdr:colOff>167284</xdr:colOff>
      <xdr:row>13</xdr:row>
      <xdr:rowOff>211932</xdr:rowOff>
    </xdr:from>
    <xdr:to>
      <xdr:col>1</xdr:col>
      <xdr:colOff>2072284</xdr:colOff>
      <xdr:row>15</xdr:row>
      <xdr:rowOff>183357</xdr:rowOff>
    </xdr:to>
    <xdr:sp macro="" textlink="">
      <xdr:nvSpPr>
        <xdr:cNvPr id="15" name="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0A7EB3-41A5-4EB3-B11A-4559DE22F97B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0</xdr:col>
      <xdr:colOff>167284</xdr:colOff>
      <xdr:row>17</xdr:row>
      <xdr:rowOff>264320</xdr:rowOff>
    </xdr:from>
    <xdr:to>
      <xdr:col>1</xdr:col>
      <xdr:colOff>2072284</xdr:colOff>
      <xdr:row>19</xdr:row>
      <xdr:rowOff>235745</xdr:rowOff>
    </xdr:to>
    <xdr:sp macro="" textlink="">
      <xdr:nvSpPr>
        <xdr:cNvPr id="16" name="Rectang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F1BCBD-CA35-41F5-BDEC-ED8A4981DF05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New</a:t>
          </a:r>
          <a:r>
            <a:rPr lang="en-US" sz="1800" b="1" baseline="0">
              <a:solidFill>
                <a:schemeClr val="tx1"/>
              </a:solidFill>
            </a:rPr>
            <a:t> Entry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167284</xdr:colOff>
      <xdr:row>20</xdr:row>
      <xdr:rowOff>23814</xdr:rowOff>
    </xdr:from>
    <xdr:to>
      <xdr:col>1</xdr:col>
      <xdr:colOff>2072284</xdr:colOff>
      <xdr:row>22</xdr:row>
      <xdr:rowOff>147639</xdr:rowOff>
    </xdr:to>
    <xdr:sp macro="" textlink="">
      <xdr:nvSpPr>
        <xdr:cNvPr id="17" name="Rectang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B8B666-5886-4562-81EF-9E93F68ADFD4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0</xdr:col>
      <xdr:colOff>167284</xdr:colOff>
      <xdr:row>23</xdr:row>
      <xdr:rowOff>11908</xdr:rowOff>
    </xdr:from>
    <xdr:to>
      <xdr:col>1</xdr:col>
      <xdr:colOff>2072284</xdr:colOff>
      <xdr:row>25</xdr:row>
      <xdr:rowOff>135733</xdr:rowOff>
    </xdr:to>
    <xdr:sp macro="" textlink="">
      <xdr:nvSpPr>
        <xdr:cNvPr id="18" name="Rectangl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714BD77-7B41-4C93-967F-D032780B0F41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0</xdr:col>
      <xdr:colOff>167284</xdr:colOff>
      <xdr:row>26</xdr:row>
      <xdr:rowOff>0</xdr:rowOff>
    </xdr:from>
    <xdr:to>
      <xdr:col>1</xdr:col>
      <xdr:colOff>2072284</xdr:colOff>
      <xdr:row>28</xdr:row>
      <xdr:rowOff>123825</xdr:rowOff>
    </xdr:to>
    <xdr:sp macro="" textlink="">
      <xdr:nvSpPr>
        <xdr:cNvPr id="19" name="Rectangle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3EF88B-8B34-455F-B073-80FB98CA3B08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0</xdr:colOff>
      <xdr:row>1</xdr:row>
      <xdr:rowOff>0</xdr:rowOff>
    </xdr:from>
    <xdr:to>
      <xdr:col>16</xdr:col>
      <xdr:colOff>371476</xdr:colOff>
      <xdr:row>6</xdr:row>
      <xdr:rowOff>66675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76D40EA-3DF0-4D72-878F-124C30884474}"/>
            </a:ext>
          </a:extLst>
        </xdr:cNvPr>
        <xdr:cNvSpPr/>
      </xdr:nvSpPr>
      <xdr:spPr>
        <a:xfrm>
          <a:off x="2562225" y="190500"/>
          <a:ext cx="15020926" cy="1019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0" b="1">
              <a:solidFill>
                <a:schemeClr val="tx1"/>
              </a:solidFill>
            </a:rPr>
            <a:t>Inventory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BCAE699-500A-479C-AECC-816C2C561728}"/>
            </a:ext>
          </a:extLst>
        </xdr:cNvPr>
        <xdr:cNvSpPr/>
      </xdr:nvSpPr>
      <xdr:spPr>
        <a:xfrm>
          <a:off x="167284" y="201691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97B255D-F847-4440-8E32-F94A219627FD}"/>
            </a:ext>
          </a:extLst>
        </xdr:cNvPr>
        <xdr:cNvSpPr/>
      </xdr:nvSpPr>
      <xdr:spPr>
        <a:xfrm>
          <a:off x="167284" y="257651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6F08B5D-02C5-4591-8FC1-CB398930EE99}"/>
            </a:ext>
          </a:extLst>
        </xdr:cNvPr>
        <xdr:cNvSpPr/>
      </xdr:nvSpPr>
      <xdr:spPr>
        <a:xfrm>
          <a:off x="167284" y="3695701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A70E8FA-972D-445F-936B-49C9281DA97F}"/>
            </a:ext>
          </a:extLst>
        </xdr:cNvPr>
        <xdr:cNvSpPr/>
      </xdr:nvSpPr>
      <xdr:spPr>
        <a:xfrm>
          <a:off x="167284" y="3136107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A88DF73-39E0-4F13-A785-DE992E355146}"/>
            </a:ext>
          </a:extLst>
        </xdr:cNvPr>
        <xdr:cNvSpPr/>
      </xdr:nvSpPr>
      <xdr:spPr>
        <a:xfrm>
          <a:off x="167284" y="425529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New</a:t>
          </a:r>
          <a:r>
            <a:rPr lang="en-US" sz="1400" b="1" baseline="0">
              <a:solidFill>
                <a:schemeClr val="tx1"/>
              </a:solidFill>
            </a:rPr>
            <a:t> Entry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8973033-FBD8-46B7-AE4C-376616850FB8}"/>
            </a:ext>
          </a:extLst>
        </xdr:cNvPr>
        <xdr:cNvSpPr/>
      </xdr:nvSpPr>
      <xdr:spPr>
        <a:xfrm>
          <a:off x="167284" y="4814889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C50A51E-2524-484D-9891-39C4C61E5A66}"/>
            </a:ext>
          </a:extLst>
        </xdr:cNvPr>
        <xdr:cNvSpPr/>
      </xdr:nvSpPr>
      <xdr:spPr>
        <a:xfrm>
          <a:off x="167284" y="5374483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0</xdr:col>
      <xdr:colOff>167284</xdr:colOff>
      <xdr:row>0</xdr:row>
      <xdr:rowOff>0</xdr:rowOff>
    </xdr:from>
    <xdr:to>
      <xdr:col>1</xdr:col>
      <xdr:colOff>2072284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B4EA6AA-150D-43C3-A6A0-DAE1E7B8B0B0}"/>
            </a:ext>
          </a:extLst>
        </xdr:cNvPr>
        <xdr:cNvSpPr/>
      </xdr:nvSpPr>
      <xdr:spPr>
        <a:xfrm>
          <a:off x="167284" y="5934075"/>
          <a:ext cx="207645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ja%20download\inventory%20management%20software%20by%20deepak%20eduworld.xlsx" TargetMode="External"/><Relationship Id="rId1" Type="http://schemas.openxmlformats.org/officeDocument/2006/relationships/externalLinkPath" Target="/reja%20download/inventory%20management%20software%20by%20deepak%20eduwor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heet9"/>
      <sheetName val="Customers"/>
      <sheetName val="Vendors"/>
      <sheetName val="Products"/>
      <sheetName val="New Entry"/>
      <sheetName val="Purchase"/>
      <sheetName val="Sales"/>
      <sheetName val="Inventory"/>
      <sheetName val="inventory management software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03366666667" createdVersion="8" refreshedVersion="8" minRefreshableVersion="3" recordCount="7" xr:uid="{123BCB14-D12A-49AF-9A9C-38A9AAF68217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036580902779" createdVersion="8" refreshedVersion="8" minRefreshableVersion="3" recordCount="10" xr:uid="{F1C282B1-E501-4B58-BCEE-F868E823FCAB}">
  <cacheSource type="worksheet">
    <worksheetSource name="product"/>
  </cacheSource>
  <cacheFields count="4">
    <cacheField name="HSN Code" numFmtId="0">
      <sharedItems/>
    </cacheField>
    <cacheField name="Product Name" numFmtId="0">
      <sharedItems/>
    </cacheField>
    <cacheField name="Cost" numFmtId="41">
      <sharedItems containsSemiMixedTypes="0" containsString="0" containsNumber="1" containsInteger="1" minValue="200" maxValue="52000"/>
    </cacheField>
    <cacheField name="Selling Price" numFmtId="41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037175578706" createdVersion="8" refreshedVersion="8" minRefreshableVersion="3" recordCount="19" xr:uid="{D2CA30B9-9132-4280-B0D6-4EB2C657FB5F}">
  <cacheSource type="worksheet">
    <worksheetSource name="purchasedata"/>
  </cacheSource>
  <cacheFields count="7">
    <cacheField name="HSN Code" numFmtId="0">
      <sharedItems/>
    </cacheField>
    <cacheField name="Prodct Name" numFmtId="0">
      <sharedItems/>
    </cacheField>
    <cacheField name="Vendor" numFmtId="0">
      <sharedItems/>
    </cacheField>
    <cacheField name="Date" numFmtId="164">
      <sharedItems containsSemiMixedTypes="0" containsNonDate="0" containsDate="1" containsString="0" minDate="2026-09-11T00:00:00" maxDate="2026-09-30T00:00:00"/>
    </cacheField>
    <cacheField name="Units" numFmtId="0">
      <sharedItems containsSemiMixedTypes="0" containsString="0" containsNumber="1" containsInteger="1" minValue="10" maxValue="29"/>
    </cacheField>
    <cacheField name="Cost" numFmtId="0">
      <sharedItems containsSemiMixedTypes="0" containsString="0" containsNumber="1" containsInteger="1" minValue="200" maxValue="52000"/>
    </cacheField>
    <cacheField name="Amount" numFmtId="0">
      <sharedItems containsSemiMixedTypes="0" containsString="0" containsNumber="1" containsInteger="1" minValue="2800" maxValue="13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043071643522" createdVersion="8" refreshedVersion="8" minRefreshableVersion="3" recordCount="14" xr:uid="{1F441006-FC6F-4F21-879D-4FDC0DF5B41D}">
  <cacheSource type="worksheet">
    <worksheetSource name="sales"/>
  </cacheSource>
  <cacheFields count="9">
    <cacheField name="Cust_ID" numFmtId="0">
      <sharedItems containsSemiMixedTypes="0" containsString="0" containsNumber="1" containsInteger="1" minValue="100" maxValue="106"/>
    </cacheField>
    <cacheField name="Cust_Name" numFmtId="0">
      <sharedItems count="7">
        <s v="Tanvir Ahmed"/>
        <s v="Atul Ltd."/>
        <s v="99store"/>
        <s v="Rahim Uddin"/>
        <s v="Amit "/>
        <s v="Sadman Tel."/>
        <s v="MK Tech."/>
      </sharedItems>
    </cacheField>
    <cacheField name="HSN Code" numFmtId="0">
      <sharedItems/>
    </cacheField>
    <cacheField name="Product Name" numFmtId="0">
      <sharedItems/>
    </cacheField>
    <cacheField name="Date" numFmtId="164">
      <sharedItems containsSemiMixedTypes="0" containsNonDate="0" containsDate="1" containsString="0" minDate="2026-09-11T00:00:00" maxDate="2026-09-12T00:00:00"/>
    </cacheField>
    <cacheField name="Stock(Units)" numFmtId="0">
      <sharedItems containsSemiMixedTypes="0" containsString="0" containsNumber="1" containsInteger="1" minValue="12" maxValue="38"/>
    </cacheField>
    <cacheField name="Units" numFmtId="0">
      <sharedItems containsSemiMixedTypes="0" containsString="0" containsNumber="1" containsInteger="1" minValue="10" maxValue="23"/>
    </cacheField>
    <cacheField name="Price" numFmtId="0">
      <sharedItems containsSemiMixedTypes="0" containsString="0" containsNumber="1" containsInteger="1" minValue="240" maxValue="62400"/>
    </cacheField>
    <cacheField name="Amount" numFmtId="0">
      <sharedItems containsSemiMixedTypes="0" containsString="0" containsNumber="1" containsInteger="1" minValue="3360" maxValue="998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043798379629" createdVersion="8" refreshedVersion="8" minRefreshableVersion="3" recordCount="10" xr:uid="{4E5A8F70-52D8-47D8-84F6-93FA7ADF5825}">
  <cacheSource type="worksheet">
    <worksheetSource name="Inventory"/>
  </cacheSource>
  <cacheFields count="7">
    <cacheField name="HSN Code" numFmtId="0">
      <sharedItems/>
    </cacheField>
    <cacheField name="Product Name" numFmtId="0">
      <sharedItems count="10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</sharedItems>
    </cacheField>
    <cacheField name="Cost" numFmtId="0">
      <sharedItems containsSemiMixedTypes="0" containsString="0" containsNumber="1" containsInteger="1" minValue="200" maxValue="52000"/>
    </cacheField>
    <cacheField name="P Unit" numFmtId="0">
      <sharedItems containsSemiMixedTypes="0" containsString="0" containsNumber="1" containsInteger="1" minValue="29" maxValue="46"/>
    </cacheField>
    <cacheField name="S Unit" numFmtId="0">
      <sharedItems containsSemiMixedTypes="0" containsString="0" containsNumber="1" containsInteger="1" minValue="12" maxValue="38"/>
    </cacheField>
    <cacheField name="Stock" numFmtId="0">
      <sharedItems containsSemiMixedTypes="0" containsString="0" containsNumber="1" containsInteger="1" minValue="2" maxValue="27"/>
    </cacheField>
    <cacheField name="Stock Amt" numFmtId="0">
      <sharedItems containsSemiMixedTypes="0" containsString="0" containsNumber="1" containsInteger="1" minValue="400" maxValue="13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Tanvir Ahmed"/>
    <s v="tanvir@gmail.com"/>
    <s v="Mirpur, Dhaka"/>
  </r>
  <r>
    <n v="101"/>
    <s v="Atul Ltd."/>
    <s v="Atu@gmail.com"/>
    <s v="Nasirabad, Chattogram"/>
  </r>
  <r>
    <n v="102"/>
    <s v="MK Tech."/>
    <s v="MK @gmail.com"/>
    <s v="Zindabazar, Sylhet"/>
  </r>
  <r>
    <n v="103"/>
    <s v="99store"/>
    <s v="99s@gmail.com"/>
    <s v="Station Bazaar, Rangpur"/>
  </r>
  <r>
    <n v="104"/>
    <s v="Rahim Uddin"/>
    <s v="Rahim@gmail.com"/>
    <s v="Banani, Dhaka"/>
  </r>
  <r>
    <n v="105"/>
    <s v="Amit "/>
    <s v="Ami@gmail.com"/>
    <s v="Royal Moor, Khulna"/>
  </r>
  <r>
    <n v="106"/>
    <s v="Sadman Tel."/>
    <s v="sadman@gmail.com"/>
    <s v="Kandirpar Main Road, Cumill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N1001"/>
    <s v="Smart Watch"/>
    <s v="Tech99"/>
    <d v="2026-09-11T00:00:00"/>
    <n v="10"/>
    <n v="980"/>
    <n v="9800"/>
  </r>
  <r>
    <s v="N1002"/>
    <s v="Laptop HP xyz i5"/>
    <s v="Tech99"/>
    <d v="2026-09-12T00:00:00"/>
    <n v="11"/>
    <n v="34500"/>
    <n v="379500"/>
  </r>
  <r>
    <s v="N1003"/>
    <s v="Wireless Printer"/>
    <s v="Tech99"/>
    <d v="2026-09-13T00:00:00"/>
    <n v="12"/>
    <n v="4600"/>
    <n v="55200"/>
  </r>
  <r>
    <s v="N1004"/>
    <s v="Desktop"/>
    <s v="GG Traders"/>
    <d v="2026-09-14T00:00:00"/>
    <n v="13"/>
    <n v="21000"/>
    <n v="273000"/>
  </r>
  <r>
    <s v="N1005"/>
    <s v="Mouse"/>
    <s v="GG Traders"/>
    <d v="2026-09-15T00:00:00"/>
    <n v="14"/>
    <n v="200"/>
    <n v="2800"/>
  </r>
  <r>
    <s v="N1006"/>
    <s v="Rgb Keyboard"/>
    <s v="GG Traders"/>
    <d v="2026-09-16T00:00:00"/>
    <n v="15"/>
    <n v="340"/>
    <n v="5100"/>
  </r>
  <r>
    <s v="N1007"/>
    <s v="Camera"/>
    <s v="GG Traders"/>
    <d v="2026-09-17T00:00:00"/>
    <n v="16"/>
    <n v="52000"/>
    <n v="832000"/>
  </r>
  <r>
    <s v="N1008"/>
    <s v="Headphones"/>
    <s v="Compac"/>
    <d v="2026-09-18T00:00:00"/>
    <n v="17"/>
    <n v="799"/>
    <n v="13583"/>
  </r>
  <r>
    <s v="N1009"/>
    <s v="Speakers"/>
    <s v="Compac"/>
    <d v="2026-09-19T00:00:00"/>
    <n v="18"/>
    <n v="670"/>
    <n v="12060"/>
  </r>
  <r>
    <s v="N1010"/>
    <s v="Tablets"/>
    <s v="Compac"/>
    <d v="2026-09-20T00:00:00"/>
    <n v="29"/>
    <n v="23500"/>
    <n v="681500"/>
  </r>
  <r>
    <s v="N1001"/>
    <s v="Smart Watch"/>
    <s v="Tech99"/>
    <d v="2026-09-21T00:00:00"/>
    <n v="20"/>
    <n v="980"/>
    <n v="19600"/>
  </r>
  <r>
    <s v="N1002"/>
    <s v="Laptop HP xyz i5"/>
    <s v="Tech99"/>
    <d v="2026-09-22T00:00:00"/>
    <n v="21"/>
    <n v="34500"/>
    <n v="724500"/>
  </r>
  <r>
    <s v="N1003"/>
    <s v="Wireless Printer"/>
    <s v="Tech99"/>
    <d v="2026-09-23T00:00:00"/>
    <n v="22"/>
    <n v="4600"/>
    <n v="101200"/>
  </r>
  <r>
    <s v="N1004"/>
    <s v="Desktop"/>
    <s v="GG Traders"/>
    <d v="2026-09-24T00:00:00"/>
    <n v="23"/>
    <n v="21000"/>
    <n v="483000"/>
  </r>
  <r>
    <s v="N1005"/>
    <s v="Mouse"/>
    <s v="GG Traders"/>
    <d v="2026-09-25T00:00:00"/>
    <n v="24"/>
    <n v="200"/>
    <n v="4800"/>
  </r>
  <r>
    <s v="N1006"/>
    <s v="Rgb Keyboard"/>
    <s v="GG Traders"/>
    <d v="2026-09-26T00:00:00"/>
    <n v="25"/>
    <n v="340"/>
    <n v="8500"/>
  </r>
  <r>
    <s v="N1007"/>
    <s v="Camera"/>
    <s v="GG Traders"/>
    <d v="2026-09-27T00:00:00"/>
    <n v="26"/>
    <n v="52000"/>
    <n v="1352000"/>
  </r>
  <r>
    <s v="N1008"/>
    <s v="Headphones"/>
    <s v="Compac"/>
    <d v="2026-09-28T00:00:00"/>
    <n v="27"/>
    <n v="799"/>
    <n v="21573"/>
  </r>
  <r>
    <s v="N1009"/>
    <s v="Speakers"/>
    <s v="Compac"/>
    <d v="2026-09-29T00:00:00"/>
    <n v="28"/>
    <n v="670"/>
    <n v="1876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"/>
    <x v="0"/>
    <s v="N1001"/>
    <s v="Smart Watch"/>
    <d v="2026-09-11T00:00:00"/>
    <n v="28"/>
    <n v="10"/>
    <n v="1176"/>
    <n v="11760"/>
  </r>
  <r>
    <n v="101"/>
    <x v="1"/>
    <s v="N1002"/>
    <s v="Laptop HP xyz i5"/>
    <d v="2026-09-11T00:00:00"/>
    <n v="30"/>
    <n v="11"/>
    <n v="41400"/>
    <n v="455400"/>
  </r>
  <r>
    <n v="103"/>
    <x v="2"/>
    <s v="N1003"/>
    <s v="Wireless Printer"/>
    <d v="2026-09-11T00:00:00"/>
    <n v="12"/>
    <n v="12"/>
    <n v="5520"/>
    <n v="66240"/>
  </r>
  <r>
    <n v="104"/>
    <x v="3"/>
    <s v="N1004"/>
    <s v="Desktop"/>
    <d v="2026-09-11T00:00:00"/>
    <n v="13"/>
    <n v="13"/>
    <n v="25200"/>
    <n v="327600"/>
  </r>
  <r>
    <n v="105"/>
    <x v="4"/>
    <s v="N1005"/>
    <s v="Mouse"/>
    <d v="2026-09-11T00:00:00"/>
    <n v="36"/>
    <n v="14"/>
    <n v="240"/>
    <n v="3360"/>
  </r>
  <r>
    <n v="106"/>
    <x v="5"/>
    <s v="N1006"/>
    <s v="Rgb Keyboard"/>
    <d v="2026-09-11T00:00:00"/>
    <n v="38"/>
    <n v="15"/>
    <n v="408"/>
    <n v="6120"/>
  </r>
  <r>
    <n v="104"/>
    <x v="3"/>
    <s v="N1007"/>
    <s v="Camera"/>
    <d v="2026-09-11T00:00:00"/>
    <n v="16"/>
    <n v="16"/>
    <n v="62400"/>
    <n v="998400"/>
  </r>
  <r>
    <n v="104"/>
    <x v="3"/>
    <s v="N1008"/>
    <s v="Headphones"/>
    <d v="2026-09-11T00:00:00"/>
    <n v="17"/>
    <n v="17"/>
    <n v="959"/>
    <n v="16303"/>
  </r>
  <r>
    <n v="102"/>
    <x v="6"/>
    <s v="N1001"/>
    <s v="Smart Watch"/>
    <d v="2026-09-11T00:00:00"/>
    <n v="28"/>
    <n v="18"/>
    <n v="1176"/>
    <n v="21168"/>
  </r>
  <r>
    <n v="100"/>
    <x v="0"/>
    <s v="N1002"/>
    <s v="Laptop HP xyz i5"/>
    <d v="2026-09-11T00:00:00"/>
    <n v="30"/>
    <n v="19"/>
    <n v="41400"/>
    <n v="786600"/>
  </r>
  <r>
    <n v="104"/>
    <x v="3"/>
    <s v="N1010"/>
    <s v="Tablets"/>
    <d v="2026-09-11T00:00:00"/>
    <n v="20"/>
    <n v="20"/>
    <n v="28200"/>
    <n v="564000"/>
  </r>
  <r>
    <n v="105"/>
    <x v="4"/>
    <s v="N1009"/>
    <s v="Speakers"/>
    <d v="2026-09-11T00:00:00"/>
    <n v="21"/>
    <n v="21"/>
    <n v="804"/>
    <n v="16884"/>
  </r>
  <r>
    <n v="100"/>
    <x v="0"/>
    <s v="N1005"/>
    <s v="Mouse"/>
    <d v="2026-09-11T00:00:00"/>
    <n v="36"/>
    <n v="22"/>
    <n v="240"/>
    <n v="5280"/>
  </r>
  <r>
    <n v="104"/>
    <x v="3"/>
    <s v="N1006"/>
    <s v="Rgb Keyboard"/>
    <d v="2026-09-11T00:00:00"/>
    <n v="38"/>
    <n v="23"/>
    <n v="408"/>
    <n v="938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x v="0"/>
    <n v="980"/>
    <n v="30"/>
    <n v="28"/>
    <n v="2"/>
    <n v="1960"/>
  </r>
  <r>
    <s v="N1002"/>
    <x v="1"/>
    <n v="34500"/>
    <n v="32"/>
    <n v="30"/>
    <n v="2"/>
    <n v="69000"/>
  </r>
  <r>
    <s v="N1003"/>
    <x v="2"/>
    <n v="4600"/>
    <n v="34"/>
    <n v="12"/>
    <n v="22"/>
    <n v="101200"/>
  </r>
  <r>
    <s v="N1004"/>
    <x v="3"/>
    <n v="21000"/>
    <n v="36"/>
    <n v="13"/>
    <n v="23"/>
    <n v="483000"/>
  </r>
  <r>
    <s v="N1005"/>
    <x v="4"/>
    <n v="200"/>
    <n v="38"/>
    <n v="36"/>
    <n v="2"/>
    <n v="400"/>
  </r>
  <r>
    <s v="N1006"/>
    <x v="5"/>
    <n v="340"/>
    <n v="40"/>
    <n v="38"/>
    <n v="2"/>
    <n v="680"/>
  </r>
  <r>
    <s v="N1007"/>
    <x v="6"/>
    <n v="52000"/>
    <n v="42"/>
    <n v="16"/>
    <n v="26"/>
    <n v="1352000"/>
  </r>
  <r>
    <s v="N1008"/>
    <x v="7"/>
    <n v="799"/>
    <n v="44"/>
    <n v="17"/>
    <n v="27"/>
    <n v="21573"/>
  </r>
  <r>
    <s v="N1009"/>
    <x v="8"/>
    <n v="670"/>
    <n v="46"/>
    <n v="21"/>
    <n v="25"/>
    <n v="16750"/>
  </r>
  <r>
    <s v="N1010"/>
    <x v="9"/>
    <n v="23500"/>
    <n v="29"/>
    <n v="20"/>
    <n v="9"/>
    <n v="21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E39C2-9CBE-416E-AB5E-D327CC4CDA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41" showAll="0"/>
    <pivotField numFmtId="41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A02B1-8795-4BE1-B2F0-4769C5A038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35CE6-A8AC-4060-839B-4632B7122092}" name="top 5 custumer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E11:F17" firstHeaderRow="1" firstDataRow="1" firstDataCol="1"/>
  <pivotFields count="9">
    <pivotField showAll="0"/>
    <pivotField axis="axisRow" showAll="0" measureFilter="1" sortType="descending">
      <items count="8">
        <item x="2"/>
        <item x="4"/>
        <item x="1"/>
        <item x="6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dataField="1" showAll="0"/>
  </pivotFields>
  <rowFields count="1">
    <field x="1"/>
  </rowFields>
  <rowItems count="6">
    <i>
      <x v="4"/>
    </i>
    <i>
      <x v="6"/>
    </i>
    <i>
      <x v="2"/>
    </i>
    <i>
      <x/>
    </i>
    <i>
      <x v="3"/>
    </i>
    <i t="grand">
      <x/>
    </i>
  </rowItems>
  <colItems count="1">
    <i/>
  </colItems>
  <dataFields count="1">
    <dataField name="Sum of Amount" fld="8" baseField="0" baseItem="0"/>
  </dataFields>
  <chartFormats count="1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8D00E-0DF4-4FBC-BFCE-8BF09D780869}" name="top 5 product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2:F8" firstHeaderRow="1" firstDataRow="1" firstDataCol="1"/>
  <pivotFields count="7">
    <pivotField showAll="0"/>
    <pivotField axis="axisRow" showAll="0" measureFilter="1" sortType="descending">
      <items count="11">
        <item x="6"/>
        <item x="3"/>
        <item x="7"/>
        <item x="1"/>
        <item x="4"/>
        <item x="5"/>
        <item x="0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5"/>
    </i>
    <i>
      <x v="4"/>
    </i>
    <i>
      <x v="3"/>
    </i>
    <i>
      <x v="6"/>
    </i>
    <i>
      <x v="7"/>
    </i>
    <i t="grand">
      <x/>
    </i>
  </rowItems>
  <colItems count="1">
    <i/>
  </colItems>
  <dataFields count="1">
    <dataField name="Sum of S Unit" fld="4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4B0C3-B4D9-4AA5-AA8E-10706FCF7A1A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3:B34" firstHeaderRow="1" firstDataRow="1" firstDataCol="1"/>
  <pivotFields count="7">
    <pivotField showAll="0"/>
    <pivotField axis="axisRow" showAll="0">
      <items count="11"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2DFBB-BD58-4565-815A-6840C6BAF0A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9"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EFC4F-C76F-49E6-99F7-B9DCDAC1B4B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7">
    <pivotField showAll="0"/>
    <pivotField showAll="0"/>
    <pivotField showAll="0"/>
    <pivotField numFmtId="164"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0552D-8FEA-40DF-8CA3-F7189DC10538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" fld="6" baseField="0" baseItem="0" numFmtId="165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1A0A52-B639-4727-A483-0D8D2DEFBAF4}" name="customersdata" displayName="customersdata" ref="D9:G16" totalsRowShown="0" headerRowDxfId="51" dataDxfId="50">
  <autoFilter ref="D9:G16" xr:uid="{EA1A0A52-B639-4727-A483-0D8D2DEFBAF4}"/>
  <tableColumns count="4">
    <tableColumn id="1" xr3:uid="{6734232B-4897-4ACD-90FB-D7AFAEDCEBC2}" name="Cust_ID" dataDxfId="49"/>
    <tableColumn id="2" xr3:uid="{54BAFE42-B11F-4F02-A63B-4BD8AB0DCB78}" name="Name" dataDxfId="48"/>
    <tableColumn id="3" xr3:uid="{CF1A3D8F-AB17-41EB-BF02-CA3E08C89CB9}" name="Email" dataDxfId="47"/>
    <tableColumn id="4" xr3:uid="{D2A3ECDA-FB8F-4E2F-AF76-8FF1C5468E29}" name="Address" dataDxfId="4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888932-9E4A-473E-AAA0-B0C210DAE13A}" name="product" displayName="product" ref="D9:G19" totalsRowShown="0" headerRowDxfId="45" dataDxfId="44">
  <autoFilter ref="D9:G19" xr:uid="{9B888932-9E4A-473E-AAA0-B0C210DAE13A}"/>
  <tableColumns count="4">
    <tableColumn id="1" xr3:uid="{D1B7D209-529D-47E4-8D06-E5D8BDAE0F07}" name="SKU Code" dataDxfId="43"/>
    <tableColumn id="2" xr3:uid="{DA6D611C-5050-4A96-9178-2D193DCF6E33}" name="Product Name" dataDxfId="42"/>
    <tableColumn id="3" xr3:uid="{3631F77E-F6D6-45AA-BC9D-5EC75F4FD2E6}" name="Cost" dataDxfId="41"/>
    <tableColumn id="4" xr3:uid="{0140C0CD-5587-4450-B081-F83E08EE84E7}" name="Selling Price" dataDxfId="4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B63F92-6F4F-40A9-8B3E-E82610D78C77}" name="vendorsdata" displayName="vendorsdata" ref="D9:H20" totalsRowShown="0" headerRowDxfId="39" dataDxfId="38">
  <autoFilter ref="D9:H20" xr:uid="{E1B63F92-6F4F-40A9-8B3E-E82610D78C77}"/>
  <tableColumns count="5">
    <tableColumn id="1" xr3:uid="{31D24727-ED26-4864-92D0-1EB0DAA71BE4}" name="SKU Code" dataDxfId="37"/>
    <tableColumn id="2" xr3:uid="{3BB4B90A-47EC-423F-9950-5594BF5777C4}" name="Product Name" dataDxfId="36"/>
    <tableColumn id="3" xr3:uid="{D89A04C7-6CEF-4BA6-BF34-A88CE7C437A9}" name="Vendor Name" dataDxfId="35"/>
    <tableColumn id="4" xr3:uid="{9C587B65-5527-4AF3-9C39-9970CD8FE391}" name="Phone" dataDxfId="34"/>
    <tableColumn id="5" xr3:uid="{26F3CAD5-AA4E-418F-92BA-81C0333681F1}" name="Address" dataDxfId="3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EEA441-9641-42C4-8FD4-32660953BD68}" name="purchasedata" displayName="purchasedata" ref="D8:J28" totalsRowShown="0" headerRowDxfId="32" dataDxfId="31">
  <autoFilter ref="D8:J28" xr:uid="{26EEA441-9641-42C4-8FD4-32660953BD68}"/>
  <tableColumns count="7">
    <tableColumn id="1" xr3:uid="{AD3428FA-1AFD-4A72-9398-C65D6EEADDB6}" name="SKU Code" dataDxfId="30"/>
    <tableColumn id="2" xr3:uid="{F9A4A689-7A08-41E3-A0D9-786E51E990D9}" name="Product Name" dataDxfId="29">
      <calculatedColumnFormula>IFERROR(VLOOKUP(purchasedata[[#This Row],[SKU Code]],product[#All],2,0)," ")</calculatedColumnFormula>
    </tableColumn>
    <tableColumn id="3" xr3:uid="{FE19F436-E842-40E8-A0F0-BC85A37FDB45}" name="Vendor" dataDxfId="28">
      <calculatedColumnFormula>IFERROR(VLOOKUP(purchasedata[[#This Row],[SKU Code]],vendorsdata[#All],3,0),"")</calculatedColumnFormula>
    </tableColumn>
    <tableColumn id="4" xr3:uid="{8CE28405-6627-4A90-87F2-E012ED7C6D8F}" name="Date" dataDxfId="27"/>
    <tableColumn id="5" xr3:uid="{E7757D51-C0F6-451D-9B89-A77BB0544C53}" name="Units" dataDxfId="26"/>
    <tableColumn id="6" xr3:uid="{0C0CF8BA-2192-473E-831B-4E7134DAC638}" name="Cost" dataDxfId="25">
      <calculatedColumnFormula>IFERROR(VLOOKUP(purchasedata[[#This Row],[SKU Code]],product[#All],3,0),"")</calculatedColumnFormula>
    </tableColumn>
    <tableColumn id="7" xr3:uid="{7B8FC709-E060-458C-BCF4-120D8CE7B74C}" name="Amount" dataDxfId="24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E7285-EF1E-4CF2-8C05-832F5CE751FF}" name="sales" displayName="sales" ref="D8:L24" totalsRowShown="0" headerRowDxfId="23" dataDxfId="22">
  <autoFilter ref="D8:L24" xr:uid="{A76E7285-EF1E-4CF2-8C05-832F5CE751FF}"/>
  <tableColumns count="9">
    <tableColumn id="1" xr3:uid="{145F9416-B258-4791-9352-92448C47C771}" name="Cust_ID" dataDxfId="21"/>
    <tableColumn id="2" xr3:uid="{465A3BC5-052B-4000-A96F-C30657594997}" name="Cust_Name" dataDxfId="20">
      <calculatedColumnFormula>IFERROR(VLOOKUP(sales[[#This Row],[Cust_ID]],customersdata[#All],2,0),"")</calculatedColumnFormula>
    </tableColumn>
    <tableColumn id="3" xr3:uid="{699A3BDB-9268-40CD-BEEC-C1809B3881E7}" name="SKU Code" dataDxfId="19"/>
    <tableColumn id="4" xr3:uid="{7F1B4059-0F34-4E65-8448-C589B5B9C10D}" name="Product Name" dataDxfId="18">
      <calculatedColumnFormula>IFERROR(VLOOKUP(sales[[#This Row],[SKU Code]],product[#All],2,0),"")</calculatedColumnFormula>
    </tableColumn>
    <tableColumn id="5" xr3:uid="{EE03D126-0124-4CDC-A03D-664D10AD1132}" name="Date" dataDxfId="17"/>
    <tableColumn id="6" xr3:uid="{7944E5A4-A440-4F32-A57E-F355735D4115}" name="Stock(Units)" dataDxfId="16">
      <calculatedColumnFormula>IFERROR(VLOOKUP(sales[[#This Row],[SKU Code]],Inventory[#All],5,0),"")</calculatedColumnFormula>
    </tableColumn>
    <tableColumn id="9" xr3:uid="{E93F36F4-0053-4903-92BD-4D88E1B2C361}" name="Units" dataDxfId="15"/>
    <tableColumn id="7" xr3:uid="{EEC0C985-02DF-4B27-9288-101BC707D528}" name="Price" dataDxfId="14">
      <calculatedColumnFormula>IFERROR(VLOOKUP(sales[[#This Row],[SKU Code]],product[#All],4,0),"")</calculatedColumnFormula>
    </tableColumn>
    <tableColumn id="8" xr3:uid="{B4CF05CD-40C8-4ED9-A6DC-084CCF05DBA0}" name="Amount" dataDxfId="13">
      <calculatedColumnFormula>IFERROR(sales[[#This Row],[Price]]*sales[[#This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A5DDB-1A91-4CF5-B415-0D0BC5636552}" name="Inventory" displayName="Inventory" ref="D9:K19" totalsRowShown="0" headerRowDxfId="12" dataDxfId="11">
  <autoFilter ref="D9:K19" xr:uid="{159A5DDB-1A91-4CF5-B415-0D0BC5636552}"/>
  <tableColumns count="8">
    <tableColumn id="1" xr3:uid="{F2426552-E262-44E9-B1A9-452971058EDC}" name="SKU Code" dataDxfId="10"/>
    <tableColumn id="2" xr3:uid="{5DBAC9D3-01F8-46FD-87EA-E951ED8C02C1}" name="Product Name" dataDxfId="9"/>
    <tableColumn id="3" xr3:uid="{861ABC05-373C-49D0-8B15-0F693B1AA9A3}" name="Cost" dataDxfId="8"/>
    <tableColumn id="4" xr3:uid="{2E127872-9E83-4951-90ED-43494F025B2C}" name="P Unit" dataDxfId="7">
      <calculatedColumnFormula>SUMIF(purchasedata[Product Name],Inventory[[#This Row],[Product Name]],purchasedata[Units])</calculatedColumnFormula>
    </tableColumn>
    <tableColumn id="5" xr3:uid="{55A66D75-DFE5-48BF-84A9-E49BD8F99D93}" name="S Unit" dataDxfId="6">
      <calculatedColumnFormula>SUMIF(sales[Product Name],Inventory[[#This Row],[Product Name]],sales[Units])</calculatedColumnFormula>
    </tableColumn>
    <tableColumn id="6" xr3:uid="{B25234BC-7E22-40FE-9936-E662E764F292}" name="Stock" dataDxfId="5">
      <calculatedColumnFormula>Inventory[[#This Row],[P Unit]]-Inventory[[#This Row],[S Unit]]</calculatedColumnFormula>
    </tableColumn>
    <tableColumn id="7" xr3:uid="{931A6005-B854-4D92-BFDA-14D958084E6D}" name="Stock Amt" dataDxfId="4">
      <calculatedColumnFormula>Inventory[[#This Row],[Cost]]*Inventory[[#This Row],[Stock]]</calculatedColumnFormula>
    </tableColumn>
    <tableColumn id="8" xr3:uid="{C5297C99-92BB-4DA6-8349-ECD355B5A406}" name="Notification" dataDxfId="3">
      <calculatedColumnFormula>IF(Inventory[[#This Row],[Stock]]&lt;2,"📞 "&amp;Inventory[[#This Row],[Product Name]]&amp;" Needs to re-order ! PH "&amp;VLOOKUP(Inventory[[#This Row],[SKU Code]],vendorsdata[#All],4,0),"")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DC93-8CAF-4179-86F6-D3A1337F1FB1}">
  <sheetPr>
    <pageSetUpPr autoPageBreaks="0"/>
  </sheetPr>
  <dimension ref="B1:U39"/>
  <sheetViews>
    <sheetView showGridLines="0" showRowColHeaders="0" tabSelected="1" zoomScaleNormal="100" workbookViewId="0"/>
  </sheetViews>
  <sheetFormatPr defaultRowHeight="15" x14ac:dyDescent="0.25"/>
  <cols>
    <col min="1" max="1" width="2.5703125" style="2" customWidth="1"/>
    <col min="2" max="2" width="31.42578125" style="1" customWidth="1"/>
    <col min="3" max="3" width="4.28515625" style="2" customWidth="1"/>
    <col min="4" max="4" width="13" style="2" customWidth="1"/>
    <col min="5" max="5" width="18.42578125" style="2" customWidth="1"/>
    <col min="6" max="6" width="26.85546875" style="2" customWidth="1"/>
    <col min="7" max="7" width="38.5703125" style="2" customWidth="1"/>
    <col min="8" max="8" width="9.140625" style="2"/>
    <col min="9" max="9" width="9.140625" style="2" customWidth="1"/>
    <col min="10" max="11" width="9.140625" style="2"/>
    <col min="12" max="13" width="9.140625" style="2" customWidth="1"/>
    <col min="14" max="14" width="14.85546875" style="2" customWidth="1"/>
    <col min="15" max="19" width="9.140625" style="2"/>
    <col min="20" max="21" width="9.140625" style="2" customWidth="1"/>
    <col min="22" max="16384" width="9.140625" style="2"/>
  </cols>
  <sheetData>
    <row r="1" spans="2:21" x14ac:dyDescent="0.25">
      <c r="B1" s="2"/>
    </row>
    <row r="4" spans="2:21" x14ac:dyDescent="0.25">
      <c r="B4"/>
    </row>
    <row r="13" spans="2:21" x14ac:dyDescent="0.25">
      <c r="I13" s="3"/>
    </row>
    <row r="15" spans="2:21" ht="33.75" x14ac:dyDescent="0.5">
      <c r="N15" s="24" t="s">
        <v>82</v>
      </c>
      <c r="O15" s="23"/>
      <c r="P15" s="23"/>
      <c r="Q15" s="23"/>
      <c r="R15" s="23"/>
      <c r="S15" s="23"/>
      <c r="T15" s="23"/>
      <c r="U15" s="23"/>
    </row>
    <row r="16" spans="2:21" ht="15.75" x14ac:dyDescent="0.25">
      <c r="N16" s="27" t="str">
        <f>IFERROR(INDEX(Inventory!$K$10:$K$19,_xlfn.AGGREGATE(15,6,(ROW(Inventory!$K$10:$K$19)-ROW(Inventory!$K$10)+1)/(Inventory!$K$10:$K$19&lt;&gt;""),ROWS(N$16:N16))),"")</f>
        <v>📞 Laptop HP xyz i5 Needs to re-order ! PH 0182xxxxxx</v>
      </c>
      <c r="O16" s="1"/>
      <c r="P16" s="1"/>
      <c r="Q16" s="1"/>
      <c r="R16" s="1"/>
      <c r="S16" s="1"/>
      <c r="T16" s="1"/>
      <c r="U16" s="1"/>
    </row>
    <row r="17" spans="14:21" x14ac:dyDescent="0.25">
      <c r="N17" s="26"/>
      <c r="O17" s="1"/>
      <c r="P17" s="1"/>
      <c r="Q17" s="1"/>
      <c r="R17" s="1"/>
      <c r="S17" s="1"/>
      <c r="T17" s="1"/>
      <c r="U17" s="1"/>
    </row>
    <row r="18" spans="14:21" x14ac:dyDescent="0.25">
      <c r="N18" s="26"/>
      <c r="O18" s="1"/>
      <c r="P18" s="1"/>
      <c r="Q18" s="1"/>
      <c r="R18" s="1"/>
      <c r="S18" s="1"/>
      <c r="T18" s="1"/>
      <c r="U18" s="1"/>
    </row>
    <row r="19" spans="14:21" x14ac:dyDescent="0.25">
      <c r="N19" s="26"/>
      <c r="O19" s="1"/>
      <c r="P19" s="1"/>
      <c r="Q19" s="1"/>
      <c r="R19" s="1"/>
      <c r="S19" s="1"/>
      <c r="T19" s="1"/>
      <c r="U19" s="1"/>
    </row>
    <row r="20" spans="14:21" x14ac:dyDescent="0.25">
      <c r="N20" s="26"/>
      <c r="O20" s="1"/>
      <c r="P20" s="1"/>
      <c r="Q20" s="1"/>
      <c r="R20" s="1"/>
      <c r="S20" s="1"/>
      <c r="T20" s="1"/>
      <c r="U20" s="1"/>
    </row>
    <row r="21" spans="14:21" x14ac:dyDescent="0.25">
      <c r="N21" s="26"/>
      <c r="O21" s="1"/>
      <c r="P21" s="1"/>
      <c r="Q21" s="1"/>
      <c r="R21" s="1"/>
      <c r="S21" s="1"/>
      <c r="T21" s="1"/>
      <c r="U21" s="1"/>
    </row>
    <row r="22" spans="14:21" x14ac:dyDescent="0.25">
      <c r="N22" s="26"/>
      <c r="O22" s="1"/>
      <c r="P22" s="1"/>
      <c r="Q22" s="1"/>
      <c r="R22" s="1"/>
      <c r="S22" s="1"/>
      <c r="T22" s="1"/>
      <c r="U22" s="1"/>
    </row>
    <row r="23" spans="14:21" x14ac:dyDescent="0.25">
      <c r="N23" s="26"/>
      <c r="O23" s="1"/>
      <c r="P23" s="1"/>
      <c r="Q23" s="1"/>
      <c r="R23" s="1"/>
      <c r="S23" s="1"/>
      <c r="T23" s="1"/>
      <c r="U23" s="1"/>
    </row>
    <row r="24" spans="14:21" x14ac:dyDescent="0.25">
      <c r="N24" s="26"/>
      <c r="O24" s="1"/>
      <c r="P24" s="1"/>
      <c r="Q24" s="1"/>
      <c r="R24" s="1"/>
      <c r="S24" s="1"/>
      <c r="T24" s="1"/>
      <c r="U24" s="1"/>
    </row>
    <row r="25" spans="14:21" x14ac:dyDescent="0.25">
      <c r="N25" s="26"/>
      <c r="O25" s="1"/>
      <c r="P25" s="1"/>
      <c r="Q25" s="1"/>
      <c r="R25" s="1"/>
      <c r="S25" s="1"/>
      <c r="T25" s="1"/>
      <c r="U25" s="1"/>
    </row>
    <row r="26" spans="14:21" x14ac:dyDescent="0.25">
      <c r="N26" s="26"/>
      <c r="O26" s="1"/>
      <c r="P26" s="1"/>
      <c r="Q26" s="1"/>
      <c r="R26" s="1"/>
      <c r="S26" s="1"/>
      <c r="T26" s="1"/>
      <c r="U26" s="1"/>
    </row>
    <row r="27" spans="14:21" x14ac:dyDescent="0.25">
      <c r="N27" s="26"/>
      <c r="O27" s="1"/>
      <c r="P27" s="1"/>
      <c r="Q27" s="1"/>
      <c r="R27" s="1"/>
      <c r="S27" s="1"/>
      <c r="T27" s="1"/>
      <c r="U27" s="1"/>
    </row>
    <row r="28" spans="14:21" x14ac:dyDescent="0.25">
      <c r="N28" s="26"/>
      <c r="O28" s="1"/>
      <c r="P28" s="1"/>
      <c r="Q28" s="1"/>
      <c r="R28" s="1"/>
      <c r="S28" s="1"/>
      <c r="T28" s="1"/>
      <c r="U28" s="1"/>
    </row>
    <row r="29" spans="14:21" x14ac:dyDescent="0.25">
      <c r="N29" s="26"/>
      <c r="O29" s="1"/>
      <c r="P29" s="1"/>
      <c r="Q29" s="1"/>
      <c r="R29" s="1"/>
      <c r="S29" s="1"/>
      <c r="T29" s="1"/>
      <c r="U29" s="1"/>
    </row>
    <row r="30" spans="14:21" x14ac:dyDescent="0.25">
      <c r="N30" s="26"/>
      <c r="O30" s="1"/>
      <c r="P30" s="1"/>
      <c r="Q30" s="1"/>
      <c r="R30" s="1"/>
      <c r="S30" s="1"/>
      <c r="T30" s="1"/>
      <c r="U30" s="1"/>
    </row>
    <row r="31" spans="14:21" x14ac:dyDescent="0.25">
      <c r="N31" s="26"/>
      <c r="O31" s="1"/>
      <c r="P31" s="1"/>
      <c r="Q31" s="1"/>
      <c r="R31" s="1"/>
      <c r="S31" s="1"/>
      <c r="T31" s="1"/>
      <c r="U31" s="1"/>
    </row>
    <row r="32" spans="14:21" x14ac:dyDescent="0.25">
      <c r="N32" s="26"/>
      <c r="O32" s="1"/>
      <c r="P32" s="1"/>
      <c r="Q32" s="1"/>
      <c r="R32" s="1"/>
      <c r="S32" s="1"/>
      <c r="T32" s="1"/>
      <c r="U32" s="1"/>
    </row>
    <row r="33" spans="14:21" x14ac:dyDescent="0.25">
      <c r="N33" s="26"/>
      <c r="O33" s="1"/>
      <c r="P33" s="1"/>
      <c r="Q33" s="1"/>
      <c r="R33" s="1"/>
      <c r="S33" s="1"/>
      <c r="T33" s="1"/>
      <c r="U33" s="1"/>
    </row>
    <row r="34" spans="14:21" x14ac:dyDescent="0.25">
      <c r="N34" s="26"/>
      <c r="O34" s="1"/>
      <c r="P34" s="1"/>
      <c r="Q34" s="1"/>
      <c r="R34" s="1"/>
      <c r="S34" s="1"/>
      <c r="T34" s="1"/>
      <c r="U34" s="1"/>
    </row>
    <row r="35" spans="14:21" x14ac:dyDescent="0.25">
      <c r="N35" s="26"/>
      <c r="O35" s="1"/>
      <c r="P35" s="1"/>
      <c r="Q35" s="1"/>
      <c r="R35" s="1"/>
      <c r="S35" s="1"/>
      <c r="T35" s="1"/>
      <c r="U35" s="1"/>
    </row>
    <row r="36" spans="14:21" x14ac:dyDescent="0.25">
      <c r="N36" s="26"/>
      <c r="O36" s="1"/>
      <c r="P36" s="1"/>
      <c r="Q36" s="1"/>
      <c r="R36" s="1"/>
      <c r="S36" s="1"/>
      <c r="T36" s="1"/>
      <c r="U36" s="1"/>
    </row>
    <row r="37" spans="14:21" x14ac:dyDescent="0.25">
      <c r="N37" s="26"/>
      <c r="O37" s="1"/>
      <c r="P37" s="1"/>
      <c r="Q37" s="1"/>
      <c r="R37" s="1"/>
      <c r="S37" s="1"/>
      <c r="T37" s="1"/>
      <c r="U37" s="1"/>
    </row>
    <row r="38" spans="14:21" x14ac:dyDescent="0.25">
      <c r="N38" s="26"/>
      <c r="O38" s="1"/>
      <c r="P38" s="1"/>
      <c r="Q38" s="1"/>
      <c r="R38" s="1"/>
      <c r="S38" s="1"/>
      <c r="T38" s="1"/>
      <c r="U38" s="1"/>
    </row>
    <row r="39" spans="14:21" x14ac:dyDescent="0.25">
      <c r="N39" s="2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1D28-CA5D-4129-B12B-E20A603B4333}">
  <dimension ref="B1:G16"/>
  <sheetViews>
    <sheetView showGridLines="0" showRowColHeaders="0" zoomScale="99" zoomScaleNormal="99" workbookViewId="0"/>
  </sheetViews>
  <sheetFormatPr defaultRowHeight="15" x14ac:dyDescent="0.25"/>
  <cols>
    <col min="1" max="1" width="2.5703125" style="2" customWidth="1"/>
    <col min="2" max="2" width="31.42578125" style="1" customWidth="1"/>
    <col min="3" max="3" width="4.140625" style="2" customWidth="1"/>
    <col min="4" max="4" width="13" style="2" customWidth="1"/>
    <col min="5" max="5" width="18.42578125" style="2" customWidth="1"/>
    <col min="6" max="6" width="26.85546875" style="2" customWidth="1"/>
    <col min="7" max="7" width="38.5703125" style="2" customWidth="1"/>
    <col min="8" max="8" width="9.140625" style="2"/>
    <col min="9" max="9" width="9.140625" style="2" customWidth="1"/>
    <col min="10" max="16384" width="9.140625" style="2"/>
  </cols>
  <sheetData>
    <row r="1" spans="2:7" x14ac:dyDescent="0.25">
      <c r="B1" s="2"/>
    </row>
    <row r="4" spans="2:7" x14ac:dyDescent="0.25">
      <c r="B4"/>
    </row>
    <row r="9" spans="2:7" ht="21" x14ac:dyDescent="0.35">
      <c r="D9" s="4" t="s">
        <v>0</v>
      </c>
      <c r="E9" s="5" t="s">
        <v>1</v>
      </c>
      <c r="F9" s="5" t="s">
        <v>2</v>
      </c>
      <c r="G9" s="5" t="s">
        <v>3</v>
      </c>
    </row>
    <row r="10" spans="2:7" ht="21" x14ac:dyDescent="0.35">
      <c r="D10" s="4">
        <v>100</v>
      </c>
      <c r="E10" s="5" t="s">
        <v>12</v>
      </c>
      <c r="F10" s="5" t="s">
        <v>23</v>
      </c>
      <c r="G10" s="5" t="s">
        <v>15</v>
      </c>
    </row>
    <row r="11" spans="2:7" ht="21" x14ac:dyDescent="0.35">
      <c r="D11" s="4">
        <v>101</v>
      </c>
      <c r="E11" s="5" t="s">
        <v>4</v>
      </c>
      <c r="F11" s="5" t="s">
        <v>5</v>
      </c>
      <c r="G11" s="5" t="s">
        <v>16</v>
      </c>
    </row>
    <row r="12" spans="2:7" ht="21" x14ac:dyDescent="0.35">
      <c r="D12" s="4">
        <v>102</v>
      </c>
      <c r="E12" s="5" t="s">
        <v>6</v>
      </c>
      <c r="F12" s="5" t="s">
        <v>7</v>
      </c>
      <c r="G12" s="5" t="s">
        <v>17</v>
      </c>
    </row>
    <row r="13" spans="2:7" ht="21" x14ac:dyDescent="0.35">
      <c r="D13" s="4">
        <v>103</v>
      </c>
      <c r="E13" s="5" t="s">
        <v>8</v>
      </c>
      <c r="F13" s="5" t="s">
        <v>9</v>
      </c>
      <c r="G13" s="5" t="s">
        <v>19</v>
      </c>
    </row>
    <row r="14" spans="2:7" ht="21" x14ac:dyDescent="0.35">
      <c r="D14" s="4">
        <v>104</v>
      </c>
      <c r="E14" s="5" t="s">
        <v>14</v>
      </c>
      <c r="F14" s="5" t="s">
        <v>22</v>
      </c>
      <c r="G14" s="5" t="s">
        <v>18</v>
      </c>
    </row>
    <row r="15" spans="2:7" ht="21" x14ac:dyDescent="0.35">
      <c r="D15" s="4">
        <v>105</v>
      </c>
      <c r="E15" s="5" t="s">
        <v>10</v>
      </c>
      <c r="F15" s="5" t="s">
        <v>11</v>
      </c>
      <c r="G15" s="5" t="s">
        <v>21</v>
      </c>
    </row>
    <row r="16" spans="2:7" ht="21" x14ac:dyDescent="0.35">
      <c r="D16" s="4">
        <v>106</v>
      </c>
      <c r="E16" s="5" t="s">
        <v>13</v>
      </c>
      <c r="F16" s="5" t="s">
        <v>24</v>
      </c>
      <c r="G16" s="5" t="s">
        <v>20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B17C-A42A-45B2-81B8-F5ABDC8F73A9}">
  <dimension ref="B1:I23"/>
  <sheetViews>
    <sheetView showGridLines="0" showRowColHeaders="0" workbookViewId="0"/>
  </sheetViews>
  <sheetFormatPr defaultRowHeight="15" x14ac:dyDescent="0.25"/>
  <cols>
    <col min="1" max="1" width="2.5703125" style="2" customWidth="1"/>
    <col min="2" max="2" width="31.42578125" style="1" customWidth="1"/>
    <col min="3" max="3" width="4.28515625" style="2" customWidth="1"/>
    <col min="4" max="4" width="16" style="2" customWidth="1"/>
    <col min="5" max="5" width="21.85546875" style="2" customWidth="1"/>
    <col min="6" max="6" width="17.7109375" style="2" customWidth="1"/>
    <col min="7" max="7" width="18.85546875" style="2" customWidth="1"/>
    <col min="8" max="16384" width="9.140625" style="2"/>
  </cols>
  <sheetData>
    <row r="1" spans="2:9" x14ac:dyDescent="0.25">
      <c r="B1" s="2"/>
    </row>
    <row r="4" spans="2:9" x14ac:dyDescent="0.25">
      <c r="B4"/>
    </row>
    <row r="9" spans="2:9" ht="21" x14ac:dyDescent="0.35">
      <c r="D9" s="5" t="s">
        <v>84</v>
      </c>
      <c r="E9" s="5" t="s">
        <v>25</v>
      </c>
      <c r="F9" s="6" t="s">
        <v>26</v>
      </c>
      <c r="G9" s="6" t="s">
        <v>27</v>
      </c>
    </row>
    <row r="10" spans="2:9" ht="21" x14ac:dyDescent="0.35">
      <c r="D10" s="5" t="s">
        <v>28</v>
      </c>
      <c r="E10" s="5" t="s">
        <v>29</v>
      </c>
      <c r="F10" s="7">
        <v>980</v>
      </c>
      <c r="G10" s="7">
        <v>1176</v>
      </c>
    </row>
    <row r="11" spans="2:9" ht="21" x14ac:dyDescent="0.35">
      <c r="D11" s="5" t="s">
        <v>30</v>
      </c>
      <c r="E11" s="5" t="s">
        <v>31</v>
      </c>
      <c r="F11" s="7">
        <v>34500</v>
      </c>
      <c r="G11" s="7">
        <v>41400</v>
      </c>
    </row>
    <row r="12" spans="2:9" ht="21" x14ac:dyDescent="0.35">
      <c r="D12" s="5" t="s">
        <v>32</v>
      </c>
      <c r="E12" s="5" t="s">
        <v>33</v>
      </c>
      <c r="F12" s="7">
        <v>4600</v>
      </c>
      <c r="G12" s="7">
        <v>5520</v>
      </c>
    </row>
    <row r="13" spans="2:9" ht="21" x14ac:dyDescent="0.35">
      <c r="D13" s="5" t="s">
        <v>34</v>
      </c>
      <c r="E13" s="5" t="s">
        <v>35</v>
      </c>
      <c r="F13" s="7">
        <v>21000</v>
      </c>
      <c r="G13" s="7">
        <v>25200</v>
      </c>
      <c r="I13" s="3"/>
    </row>
    <row r="14" spans="2:9" ht="21" x14ac:dyDescent="0.35">
      <c r="D14" s="5" t="s">
        <v>36</v>
      </c>
      <c r="E14" s="5" t="s">
        <v>37</v>
      </c>
      <c r="F14" s="7">
        <v>200</v>
      </c>
      <c r="G14" s="7">
        <v>240</v>
      </c>
    </row>
    <row r="15" spans="2:9" ht="21" x14ac:dyDescent="0.35">
      <c r="D15" s="5" t="s">
        <v>38</v>
      </c>
      <c r="E15" s="5" t="s">
        <v>39</v>
      </c>
      <c r="F15" s="7">
        <v>340</v>
      </c>
      <c r="G15" s="7">
        <v>408</v>
      </c>
    </row>
    <row r="16" spans="2:9" ht="21" x14ac:dyDescent="0.35">
      <c r="D16" s="5" t="s">
        <v>40</v>
      </c>
      <c r="E16" s="5" t="s">
        <v>41</v>
      </c>
      <c r="F16" s="7">
        <v>52000</v>
      </c>
      <c r="G16" s="7">
        <v>62400</v>
      </c>
    </row>
    <row r="17" spans="4:7" ht="21" x14ac:dyDescent="0.35">
      <c r="D17" s="5" t="s">
        <v>42</v>
      </c>
      <c r="E17" s="5" t="s">
        <v>43</v>
      </c>
      <c r="F17" s="7">
        <v>799</v>
      </c>
      <c r="G17" s="7">
        <v>959</v>
      </c>
    </row>
    <row r="18" spans="4:7" ht="21" x14ac:dyDescent="0.35">
      <c r="D18" s="5" t="s">
        <v>44</v>
      </c>
      <c r="E18" s="5" t="s">
        <v>45</v>
      </c>
      <c r="F18" s="7">
        <v>670</v>
      </c>
      <c r="G18" s="7">
        <v>804</v>
      </c>
    </row>
    <row r="19" spans="4:7" ht="21" x14ac:dyDescent="0.35">
      <c r="D19" s="5" t="s">
        <v>46</v>
      </c>
      <c r="E19" s="5" t="s">
        <v>47</v>
      </c>
      <c r="F19" s="7">
        <v>23500</v>
      </c>
      <c r="G19" s="7">
        <v>28200</v>
      </c>
    </row>
    <row r="20" spans="4:7" ht="21" x14ac:dyDescent="0.35">
      <c r="D20" s="5"/>
      <c r="E20" s="5"/>
      <c r="F20" s="7"/>
      <c r="G20" s="7"/>
    </row>
    <row r="21" spans="4:7" ht="21" x14ac:dyDescent="0.35">
      <c r="D21" s="5"/>
      <c r="E21" s="5"/>
      <c r="F21" s="7"/>
      <c r="G21" s="7"/>
    </row>
    <row r="22" spans="4:7" ht="21" x14ac:dyDescent="0.35">
      <c r="D22" s="5"/>
      <c r="E22" s="5"/>
      <c r="F22" s="7"/>
      <c r="G22" s="7"/>
    </row>
    <row r="23" spans="4:7" ht="21" x14ac:dyDescent="0.35">
      <c r="D23" s="5"/>
      <c r="E23" s="5"/>
      <c r="F23" s="7"/>
      <c r="G23" s="7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67D1-B47A-4DC2-B265-A213CD9B4587}">
  <dimension ref="B1:I20"/>
  <sheetViews>
    <sheetView showRowColHeaders="0" workbookViewId="0"/>
  </sheetViews>
  <sheetFormatPr defaultRowHeight="15" x14ac:dyDescent="0.25"/>
  <cols>
    <col min="1" max="1" width="2.5703125" style="2" customWidth="1"/>
    <col min="2" max="2" width="31.42578125" style="1" customWidth="1"/>
    <col min="3" max="3" width="4.42578125" style="2" customWidth="1"/>
    <col min="4" max="4" width="16" style="2" customWidth="1"/>
    <col min="5" max="5" width="21.85546875" style="2" customWidth="1"/>
    <col min="6" max="6" width="21" style="2" customWidth="1"/>
    <col min="7" max="7" width="15.42578125" style="2" customWidth="1"/>
    <col min="8" max="8" width="38.5703125" style="2" customWidth="1"/>
    <col min="9" max="16384" width="9.140625" style="2"/>
  </cols>
  <sheetData>
    <row r="1" spans="2:9" x14ac:dyDescent="0.25">
      <c r="B1" s="2"/>
    </row>
    <row r="4" spans="2:9" x14ac:dyDescent="0.25">
      <c r="B4"/>
    </row>
    <row r="9" spans="2:9" ht="21" x14ac:dyDescent="0.35">
      <c r="D9" s="5" t="s">
        <v>84</v>
      </c>
      <c r="E9" s="5" t="s">
        <v>25</v>
      </c>
      <c r="F9" s="5" t="s">
        <v>48</v>
      </c>
      <c r="G9" s="5" t="s">
        <v>49</v>
      </c>
      <c r="H9" s="5" t="s">
        <v>3</v>
      </c>
    </row>
    <row r="10" spans="2:9" ht="21" x14ac:dyDescent="0.35">
      <c r="D10" s="5" t="s">
        <v>28</v>
      </c>
      <c r="E10" s="5" t="s">
        <v>29</v>
      </c>
      <c r="F10" s="5" t="s">
        <v>50</v>
      </c>
      <c r="G10" s="5" t="s">
        <v>53</v>
      </c>
      <c r="H10" s="5" t="s">
        <v>15</v>
      </c>
    </row>
    <row r="11" spans="2:9" ht="21" x14ac:dyDescent="0.35">
      <c r="D11" s="5" t="s">
        <v>30</v>
      </c>
      <c r="E11" s="5" t="s">
        <v>31</v>
      </c>
      <c r="F11" s="5" t="s">
        <v>50</v>
      </c>
      <c r="G11" s="5" t="s">
        <v>53</v>
      </c>
      <c r="H11" s="5" t="s">
        <v>16</v>
      </c>
    </row>
    <row r="12" spans="2:9" ht="21" x14ac:dyDescent="0.35">
      <c r="D12" s="5" t="s">
        <v>32</v>
      </c>
      <c r="E12" s="5" t="s">
        <v>33</v>
      </c>
      <c r="F12" s="5" t="s">
        <v>50</v>
      </c>
      <c r="G12" s="5" t="s">
        <v>53</v>
      </c>
      <c r="H12" s="5" t="s">
        <v>17</v>
      </c>
    </row>
    <row r="13" spans="2:9" ht="21" x14ac:dyDescent="0.35">
      <c r="D13" s="5" t="s">
        <v>34</v>
      </c>
      <c r="E13" s="5" t="s">
        <v>35</v>
      </c>
      <c r="F13" s="5" t="s">
        <v>51</v>
      </c>
      <c r="G13" s="5" t="s">
        <v>54</v>
      </c>
      <c r="H13" s="5" t="s">
        <v>19</v>
      </c>
      <c r="I13" s="3"/>
    </row>
    <row r="14" spans="2:9" ht="21" x14ac:dyDescent="0.35">
      <c r="D14" s="5" t="s">
        <v>36</v>
      </c>
      <c r="E14" s="5" t="s">
        <v>37</v>
      </c>
      <c r="F14" s="5" t="s">
        <v>51</v>
      </c>
      <c r="G14" s="5" t="s">
        <v>54</v>
      </c>
      <c r="H14" s="5" t="s">
        <v>18</v>
      </c>
    </row>
    <row r="15" spans="2:9" ht="21" x14ac:dyDescent="0.35">
      <c r="D15" s="5" t="s">
        <v>38</v>
      </c>
      <c r="E15" s="5" t="s">
        <v>39</v>
      </c>
      <c r="F15" s="5" t="s">
        <v>51</v>
      </c>
      <c r="G15" s="5" t="s">
        <v>54</v>
      </c>
      <c r="H15" s="5" t="s">
        <v>21</v>
      </c>
    </row>
    <row r="16" spans="2:9" ht="21" x14ac:dyDescent="0.35">
      <c r="D16" s="5" t="s">
        <v>40</v>
      </c>
      <c r="E16" s="5" t="s">
        <v>41</v>
      </c>
      <c r="F16" s="5" t="s">
        <v>51</v>
      </c>
      <c r="G16" s="5" t="s">
        <v>54</v>
      </c>
      <c r="H16" s="5" t="s">
        <v>20</v>
      </c>
    </row>
    <row r="17" spans="4:8" ht="21" x14ac:dyDescent="0.35">
      <c r="D17" s="5" t="s">
        <v>42</v>
      </c>
      <c r="E17" s="5" t="s">
        <v>43</v>
      </c>
      <c r="F17" s="5" t="s">
        <v>52</v>
      </c>
      <c r="G17" s="5" t="s">
        <v>55</v>
      </c>
      <c r="H17" s="5" t="s">
        <v>19</v>
      </c>
    </row>
    <row r="18" spans="4:8" ht="21" x14ac:dyDescent="0.35">
      <c r="D18" s="5" t="s">
        <v>44</v>
      </c>
      <c r="E18" s="5" t="s">
        <v>45</v>
      </c>
      <c r="F18" s="5" t="s">
        <v>52</v>
      </c>
      <c r="G18" s="5" t="s">
        <v>55</v>
      </c>
      <c r="H18" s="5" t="s">
        <v>16</v>
      </c>
    </row>
    <row r="19" spans="4:8" ht="21" x14ac:dyDescent="0.35">
      <c r="D19" s="5" t="s">
        <v>46</v>
      </c>
      <c r="E19" s="5" t="s">
        <v>47</v>
      </c>
      <c r="F19" s="5" t="s">
        <v>52</v>
      </c>
      <c r="G19" s="5" t="s">
        <v>55</v>
      </c>
      <c r="H19" s="5" t="s">
        <v>21</v>
      </c>
    </row>
    <row r="20" spans="4:8" ht="21" x14ac:dyDescent="0.35">
      <c r="D20" s="5"/>
      <c r="E20" s="5"/>
      <c r="F20" s="5"/>
      <c r="G20" s="5"/>
      <c r="H20" s="5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0BF2-765C-4F53-9AF0-A1AF44C22480}">
  <dimension ref="B1:I13"/>
  <sheetViews>
    <sheetView showRowColHeaders="0" workbookViewId="0">
      <selection activeCell="F11" sqref="F11"/>
    </sheetView>
  </sheetViews>
  <sheetFormatPr defaultRowHeight="15" x14ac:dyDescent="0.25"/>
  <cols>
    <col min="1" max="1" width="2.5703125" style="2" customWidth="1"/>
    <col min="2" max="2" width="31.42578125" style="1" customWidth="1"/>
    <col min="3" max="3" width="4.140625" style="2" customWidth="1"/>
    <col min="4" max="5" width="9.140625" style="2"/>
    <col min="6" max="6" width="45" style="2" customWidth="1"/>
    <col min="7" max="16384" width="9.140625" style="2"/>
  </cols>
  <sheetData>
    <row r="1" spans="2:9" x14ac:dyDescent="0.25">
      <c r="B1" s="2"/>
    </row>
    <row r="4" spans="2:9" x14ac:dyDescent="0.25">
      <c r="B4"/>
    </row>
    <row r="10" spans="2:9" ht="46.5" x14ac:dyDescent="0.7">
      <c r="F10" s="29" t="s">
        <v>56</v>
      </c>
      <c r="G10" s="8"/>
    </row>
    <row r="11" spans="2:9" ht="46.5" x14ac:dyDescent="0.7">
      <c r="F11" s="30" t="s">
        <v>57</v>
      </c>
      <c r="G11" s="8"/>
    </row>
    <row r="13" spans="2:9" x14ac:dyDescent="0.25">
      <c r="I13" s="3"/>
    </row>
  </sheetData>
  <hyperlinks>
    <hyperlink ref="F10" location="Purchase!A1" display="Purchase Entry" xr:uid="{329C893A-DF2D-4324-896F-432E94AA4AF6}"/>
    <hyperlink ref="F11" location="Sales!A1" display="Sales Entry" xr:uid="{A549A834-AD8C-40D6-BB2D-5C391D552B49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6F6C-786A-449C-8374-FA882A8CCB30}">
  <dimension ref="B1:J28"/>
  <sheetViews>
    <sheetView showGridLines="0" showRowColHeaders="0" workbookViewId="0">
      <selection activeCell="H29" sqref="H29"/>
    </sheetView>
  </sheetViews>
  <sheetFormatPr defaultRowHeight="15" x14ac:dyDescent="0.25"/>
  <cols>
    <col min="1" max="1" width="2.5703125" style="2" customWidth="1"/>
    <col min="2" max="2" width="31.42578125" style="1" customWidth="1"/>
    <col min="3" max="3" width="4.28515625" style="2" customWidth="1"/>
    <col min="4" max="4" width="15.42578125" style="2" customWidth="1"/>
    <col min="5" max="5" width="21.85546875" style="2" customWidth="1"/>
    <col min="6" max="6" width="14.85546875" style="2" customWidth="1"/>
    <col min="7" max="7" width="14.7109375" style="2" customWidth="1"/>
    <col min="8" max="8" width="9.5703125" style="2" customWidth="1"/>
    <col min="9" max="9" width="13.7109375" style="2" customWidth="1"/>
    <col min="10" max="10" width="17.7109375" style="2" customWidth="1"/>
    <col min="11" max="16384" width="9.140625" style="2"/>
  </cols>
  <sheetData>
    <row r="1" spans="2:10" x14ac:dyDescent="0.25">
      <c r="B1" s="2"/>
    </row>
    <row r="4" spans="2:10" x14ac:dyDescent="0.25">
      <c r="B4"/>
    </row>
    <row r="8" spans="2:10" ht="21" x14ac:dyDescent="0.35">
      <c r="D8" s="9" t="s">
        <v>84</v>
      </c>
      <c r="E8" s="9" t="s">
        <v>25</v>
      </c>
      <c r="F8" s="9" t="s">
        <v>58</v>
      </c>
      <c r="G8" s="9" t="s">
        <v>59</v>
      </c>
      <c r="H8" s="9" t="s">
        <v>60</v>
      </c>
      <c r="I8" s="9" t="s">
        <v>26</v>
      </c>
      <c r="J8" s="9" t="s">
        <v>61</v>
      </c>
    </row>
    <row r="9" spans="2:10" x14ac:dyDescent="0.25">
      <c r="D9" s="2" t="s">
        <v>28</v>
      </c>
      <c r="E9" s="2" t="str">
        <f>IFERROR(VLOOKUP(purchasedata[[#This Row],[SKU Code]],product[#All],2,0)," ")</f>
        <v>Smart Watch</v>
      </c>
      <c r="F9" s="2" t="str">
        <f>IFERROR(VLOOKUP(purchasedata[[#This Row],[SKU Code]],vendorsdata[#All],3,0),"")</f>
        <v>Tech99</v>
      </c>
      <c r="G9" s="10">
        <v>46276</v>
      </c>
      <c r="H9" s="2">
        <v>11</v>
      </c>
      <c r="I9" s="2">
        <f>IFERROR(VLOOKUP(purchasedata[[#This Row],[SKU Code]],product[#All],3,0),"")</f>
        <v>980</v>
      </c>
      <c r="J9" s="2">
        <f>IFERROR(purchasedata[[#This Row],[Units]]*purchasedata[[#This Row],[Cost]],"")</f>
        <v>10780</v>
      </c>
    </row>
    <row r="10" spans="2:10" x14ac:dyDescent="0.25">
      <c r="D10" s="2" t="s">
        <v>30</v>
      </c>
      <c r="E10" s="2" t="str">
        <f>IFERROR(VLOOKUP(purchasedata[[#This Row],[SKU Code]],product[#All],2,0)," ")</f>
        <v>Laptop HP xyz i5</v>
      </c>
      <c r="F10" s="2" t="str">
        <f>IFERROR(VLOOKUP(purchasedata[[#This Row],[SKU Code]],vendorsdata[#All],3,0),"")</f>
        <v>Tech99</v>
      </c>
      <c r="G10" s="10">
        <v>46277</v>
      </c>
      <c r="H10" s="2">
        <v>10</v>
      </c>
      <c r="I10" s="2">
        <f>IFERROR(VLOOKUP(purchasedata[[#This Row],[SKU Code]],product[#All],3,0),"")</f>
        <v>34500</v>
      </c>
      <c r="J10" s="2">
        <f>IFERROR(purchasedata[[#This Row],[Units]]*purchasedata[[#This Row],[Cost]],"")</f>
        <v>345000</v>
      </c>
    </row>
    <row r="11" spans="2:10" x14ac:dyDescent="0.25">
      <c r="D11" s="2" t="s">
        <v>32</v>
      </c>
      <c r="E11" s="2" t="str">
        <f>IFERROR(VLOOKUP(purchasedata[[#This Row],[SKU Code]],product[#All],2,0)," ")</f>
        <v>Wireless Printer</v>
      </c>
      <c r="F11" s="2" t="str">
        <f>IFERROR(VLOOKUP(purchasedata[[#This Row],[SKU Code]],vendorsdata[#All],3,0),"")</f>
        <v>Tech99</v>
      </c>
      <c r="G11" s="10">
        <v>46278</v>
      </c>
      <c r="H11" s="2">
        <v>12</v>
      </c>
      <c r="I11" s="2">
        <f>IFERROR(VLOOKUP(purchasedata[[#This Row],[SKU Code]],product[#All],3,0),"")</f>
        <v>4600</v>
      </c>
      <c r="J11" s="2">
        <f>IFERROR(purchasedata[[#This Row],[Units]]*purchasedata[[#This Row],[Cost]],"")</f>
        <v>55200</v>
      </c>
    </row>
    <row r="12" spans="2:10" x14ac:dyDescent="0.25">
      <c r="D12" s="2" t="s">
        <v>34</v>
      </c>
      <c r="E12" s="2" t="str">
        <f>IFERROR(VLOOKUP(purchasedata[[#This Row],[SKU Code]],product[#All],2,0)," ")</f>
        <v>Desktop</v>
      </c>
      <c r="F12" s="2" t="str">
        <f>IFERROR(VLOOKUP(purchasedata[[#This Row],[SKU Code]],vendorsdata[#All],3,0),"")</f>
        <v>GG Traders</v>
      </c>
      <c r="G12" s="10">
        <v>46279</v>
      </c>
      <c r="H12" s="2">
        <v>13</v>
      </c>
      <c r="I12" s="2">
        <f>IFERROR(VLOOKUP(purchasedata[[#This Row],[SKU Code]],product[#All],3,0),"")</f>
        <v>21000</v>
      </c>
      <c r="J12" s="2">
        <f>IFERROR(purchasedata[[#This Row],[Units]]*purchasedata[[#This Row],[Cost]],"")</f>
        <v>273000</v>
      </c>
    </row>
    <row r="13" spans="2:10" x14ac:dyDescent="0.25">
      <c r="D13" s="2" t="s">
        <v>36</v>
      </c>
      <c r="E13" s="2" t="str">
        <f>IFERROR(VLOOKUP(purchasedata[[#This Row],[SKU Code]],product[#All],2,0)," ")</f>
        <v>Mouse</v>
      </c>
      <c r="F13" s="2" t="str">
        <f>IFERROR(VLOOKUP(purchasedata[[#This Row],[SKU Code]],vendorsdata[#All],3,0),"")</f>
        <v>GG Traders</v>
      </c>
      <c r="G13" s="10">
        <v>46280</v>
      </c>
      <c r="H13" s="2">
        <v>14</v>
      </c>
      <c r="I13" s="2">
        <f>IFERROR(VLOOKUP(purchasedata[[#This Row],[SKU Code]],product[#All],3,0),"")</f>
        <v>200</v>
      </c>
      <c r="J13" s="2">
        <f>IFERROR(purchasedata[[#This Row],[Units]]*purchasedata[[#This Row],[Cost]],"")</f>
        <v>2800</v>
      </c>
    </row>
    <row r="14" spans="2:10" x14ac:dyDescent="0.25">
      <c r="D14" s="2" t="s">
        <v>38</v>
      </c>
      <c r="E14" s="2" t="str">
        <f>IFERROR(VLOOKUP(purchasedata[[#This Row],[SKU Code]],product[#All],2,0)," ")</f>
        <v>Rgb Keyboard</v>
      </c>
      <c r="F14" s="2" t="str">
        <f>IFERROR(VLOOKUP(purchasedata[[#This Row],[SKU Code]],vendorsdata[#All],3,0),"")</f>
        <v>GG Traders</v>
      </c>
      <c r="G14" s="10">
        <v>46281</v>
      </c>
      <c r="H14" s="2">
        <v>15</v>
      </c>
      <c r="I14" s="2">
        <f>IFERROR(VLOOKUP(purchasedata[[#This Row],[SKU Code]],product[#All],3,0),"")</f>
        <v>340</v>
      </c>
      <c r="J14" s="2">
        <f>IFERROR(purchasedata[[#This Row],[Units]]*purchasedata[[#This Row],[Cost]],"")</f>
        <v>5100</v>
      </c>
    </row>
    <row r="15" spans="2:10" x14ac:dyDescent="0.25">
      <c r="D15" s="2" t="s">
        <v>40</v>
      </c>
      <c r="E15" s="2" t="str">
        <f>IFERROR(VLOOKUP(purchasedata[[#This Row],[SKU Code]],product[#All],2,0)," ")</f>
        <v>Camera</v>
      </c>
      <c r="F15" s="2" t="str">
        <f>IFERROR(VLOOKUP(purchasedata[[#This Row],[SKU Code]],vendorsdata[#All],3,0),"")</f>
        <v>GG Traders</v>
      </c>
      <c r="G15" s="10">
        <v>46282</v>
      </c>
      <c r="H15" s="2">
        <v>16</v>
      </c>
      <c r="I15" s="2">
        <f>IFERROR(VLOOKUP(purchasedata[[#This Row],[SKU Code]],product[#All],3,0),"")</f>
        <v>52000</v>
      </c>
      <c r="J15" s="2">
        <f>IFERROR(purchasedata[[#This Row],[Units]]*purchasedata[[#This Row],[Cost]],"")</f>
        <v>832000</v>
      </c>
    </row>
    <row r="16" spans="2:10" x14ac:dyDescent="0.25">
      <c r="D16" s="2" t="s">
        <v>42</v>
      </c>
      <c r="E16" s="2" t="str">
        <f>IFERROR(VLOOKUP(purchasedata[[#This Row],[SKU Code]],product[#All],2,0)," ")</f>
        <v>Headphones</v>
      </c>
      <c r="F16" s="2" t="str">
        <f>IFERROR(VLOOKUP(purchasedata[[#This Row],[SKU Code]],vendorsdata[#All],3,0),"")</f>
        <v>Compac</v>
      </c>
      <c r="G16" s="10">
        <v>46283</v>
      </c>
      <c r="H16" s="2">
        <v>17</v>
      </c>
      <c r="I16" s="2">
        <f>IFERROR(VLOOKUP(purchasedata[[#This Row],[SKU Code]],product[#All],3,0),"")</f>
        <v>799</v>
      </c>
      <c r="J16" s="2">
        <f>IFERROR(purchasedata[[#This Row],[Units]]*purchasedata[[#This Row],[Cost]],"")</f>
        <v>13583</v>
      </c>
    </row>
    <row r="17" spans="4:10" x14ac:dyDescent="0.25">
      <c r="D17" s="2" t="s">
        <v>44</v>
      </c>
      <c r="E17" s="2" t="str">
        <f>IFERROR(VLOOKUP(purchasedata[[#This Row],[SKU Code]],product[#All],2,0)," ")</f>
        <v>Speakers</v>
      </c>
      <c r="F17" s="2" t="str">
        <f>IFERROR(VLOOKUP(purchasedata[[#This Row],[SKU Code]],vendorsdata[#All],3,0),"")</f>
        <v>Compac</v>
      </c>
      <c r="G17" s="10">
        <v>46284</v>
      </c>
      <c r="H17" s="2">
        <v>18</v>
      </c>
      <c r="I17" s="2">
        <f>IFERROR(VLOOKUP(purchasedata[[#This Row],[SKU Code]],product[#All],3,0),"")</f>
        <v>670</v>
      </c>
      <c r="J17" s="2">
        <f>IFERROR(purchasedata[[#This Row],[Units]]*purchasedata[[#This Row],[Cost]],"")</f>
        <v>12060</v>
      </c>
    </row>
    <row r="18" spans="4:10" x14ac:dyDescent="0.25">
      <c r="D18" s="2" t="s">
        <v>46</v>
      </c>
      <c r="E18" s="2" t="str">
        <f>IFERROR(VLOOKUP(purchasedata[[#This Row],[SKU Code]],product[#All],2,0)," ")</f>
        <v>Tablets</v>
      </c>
      <c r="F18" s="2" t="str">
        <f>IFERROR(VLOOKUP(purchasedata[[#This Row],[SKU Code]],vendorsdata[#All],3,0),"")</f>
        <v>Compac</v>
      </c>
      <c r="G18" s="10">
        <v>46285</v>
      </c>
      <c r="H18" s="2">
        <v>29</v>
      </c>
      <c r="I18" s="2">
        <f>IFERROR(VLOOKUP(purchasedata[[#This Row],[SKU Code]],product[#All],3,0),"")</f>
        <v>23500</v>
      </c>
      <c r="J18" s="2">
        <f>IFERROR(purchasedata[[#This Row],[Units]]*purchasedata[[#This Row],[Cost]],"")</f>
        <v>681500</v>
      </c>
    </row>
    <row r="19" spans="4:10" x14ac:dyDescent="0.25">
      <c r="D19" s="2" t="s">
        <v>28</v>
      </c>
      <c r="E19" s="2" t="str">
        <f>IFERROR(VLOOKUP(purchasedata[[#This Row],[SKU Code]],product[#All],2,0)," ")</f>
        <v>Smart Watch</v>
      </c>
      <c r="F19" s="2" t="str">
        <f>IFERROR(VLOOKUP(purchasedata[[#This Row],[SKU Code]],vendorsdata[#All],3,0),"")</f>
        <v>Tech99</v>
      </c>
      <c r="G19" s="10">
        <v>46286</v>
      </c>
      <c r="H19" s="2">
        <v>20</v>
      </c>
      <c r="I19" s="2">
        <f>IFERROR(VLOOKUP(purchasedata[[#This Row],[SKU Code]],product[#All],3,0),"")</f>
        <v>980</v>
      </c>
      <c r="J19" s="2">
        <f>IFERROR(purchasedata[[#This Row],[Units]]*purchasedata[[#This Row],[Cost]],"")</f>
        <v>19600</v>
      </c>
    </row>
    <row r="20" spans="4:10" x14ac:dyDescent="0.25">
      <c r="D20" s="2" t="s">
        <v>30</v>
      </c>
      <c r="E20" s="2" t="str">
        <f>IFERROR(VLOOKUP(purchasedata[[#This Row],[SKU Code]],product[#All],2,0)," ")</f>
        <v>Laptop HP xyz i5</v>
      </c>
      <c r="F20" s="2" t="str">
        <f>IFERROR(VLOOKUP(purchasedata[[#This Row],[SKU Code]],vendorsdata[#All],3,0),"")</f>
        <v>Tech99</v>
      </c>
      <c r="G20" s="10">
        <v>46287</v>
      </c>
      <c r="H20" s="2">
        <v>21</v>
      </c>
      <c r="I20" s="2">
        <f>IFERROR(VLOOKUP(purchasedata[[#This Row],[SKU Code]],product[#All],3,0),"")</f>
        <v>34500</v>
      </c>
      <c r="J20" s="2">
        <f>IFERROR(purchasedata[[#This Row],[Units]]*purchasedata[[#This Row],[Cost]],"")</f>
        <v>724500</v>
      </c>
    </row>
    <row r="21" spans="4:10" x14ac:dyDescent="0.25">
      <c r="D21" s="2" t="s">
        <v>32</v>
      </c>
      <c r="E21" s="2" t="str">
        <f>IFERROR(VLOOKUP(purchasedata[[#This Row],[SKU Code]],product[#All],2,0)," ")</f>
        <v>Wireless Printer</v>
      </c>
      <c r="F21" s="2" t="str">
        <f>IFERROR(VLOOKUP(purchasedata[[#This Row],[SKU Code]],vendorsdata[#All],3,0),"")</f>
        <v>Tech99</v>
      </c>
      <c r="G21" s="10">
        <v>46288</v>
      </c>
      <c r="H21" s="2">
        <v>22</v>
      </c>
      <c r="I21" s="2">
        <f>IFERROR(VLOOKUP(purchasedata[[#This Row],[SKU Code]],product[#All],3,0),"")</f>
        <v>4600</v>
      </c>
      <c r="J21" s="2">
        <f>IFERROR(purchasedata[[#This Row],[Units]]*purchasedata[[#This Row],[Cost]],"")</f>
        <v>101200</v>
      </c>
    </row>
    <row r="22" spans="4:10" x14ac:dyDescent="0.25">
      <c r="D22" s="2" t="s">
        <v>34</v>
      </c>
      <c r="E22" s="2" t="str">
        <f>IFERROR(VLOOKUP(purchasedata[[#This Row],[SKU Code]],product[#All],2,0)," ")</f>
        <v>Desktop</v>
      </c>
      <c r="F22" s="2" t="str">
        <f>IFERROR(VLOOKUP(purchasedata[[#This Row],[SKU Code]],vendorsdata[#All],3,0),"")</f>
        <v>GG Traders</v>
      </c>
      <c r="G22" s="10">
        <v>46289</v>
      </c>
      <c r="H22" s="2">
        <v>23</v>
      </c>
      <c r="I22" s="2">
        <f>IFERROR(VLOOKUP(purchasedata[[#This Row],[SKU Code]],product[#All],3,0),"")</f>
        <v>21000</v>
      </c>
      <c r="J22" s="2">
        <f>IFERROR(purchasedata[[#This Row],[Units]]*purchasedata[[#This Row],[Cost]],"")</f>
        <v>483000</v>
      </c>
    </row>
    <row r="23" spans="4:10" x14ac:dyDescent="0.25">
      <c r="D23" s="2" t="s">
        <v>36</v>
      </c>
      <c r="E23" s="2" t="str">
        <f>IFERROR(VLOOKUP(purchasedata[[#This Row],[SKU Code]],product[#All],2,0)," ")</f>
        <v>Mouse</v>
      </c>
      <c r="F23" s="2" t="str">
        <f>IFERROR(VLOOKUP(purchasedata[[#This Row],[SKU Code]],vendorsdata[#All],3,0),"")</f>
        <v>GG Traders</v>
      </c>
      <c r="G23" s="10">
        <v>46290</v>
      </c>
      <c r="H23" s="2">
        <v>24</v>
      </c>
      <c r="I23" s="2">
        <f>IFERROR(VLOOKUP(purchasedata[[#This Row],[SKU Code]],product[#All],3,0),"")</f>
        <v>200</v>
      </c>
      <c r="J23" s="2">
        <f>IFERROR(purchasedata[[#This Row],[Units]]*purchasedata[[#This Row],[Cost]],"")</f>
        <v>4800</v>
      </c>
    </row>
    <row r="24" spans="4:10" x14ac:dyDescent="0.25">
      <c r="D24" s="2" t="s">
        <v>38</v>
      </c>
      <c r="E24" s="2" t="str">
        <f>IFERROR(VLOOKUP(purchasedata[[#This Row],[SKU Code]],product[#All],2,0)," ")</f>
        <v>Rgb Keyboard</v>
      </c>
      <c r="F24" s="2" t="str">
        <f>IFERROR(VLOOKUP(purchasedata[[#This Row],[SKU Code]],vendorsdata[#All],3,0),"")</f>
        <v>GG Traders</v>
      </c>
      <c r="G24" s="10">
        <v>46291</v>
      </c>
      <c r="H24" s="2">
        <v>25</v>
      </c>
      <c r="I24" s="2">
        <f>IFERROR(VLOOKUP(purchasedata[[#This Row],[SKU Code]],product[#All],3,0),"")</f>
        <v>340</v>
      </c>
      <c r="J24" s="2">
        <f>IFERROR(purchasedata[[#This Row],[Units]]*purchasedata[[#This Row],[Cost]],"")</f>
        <v>8500</v>
      </c>
    </row>
    <row r="25" spans="4:10" x14ac:dyDescent="0.25">
      <c r="D25" s="2" t="s">
        <v>40</v>
      </c>
      <c r="E25" s="2" t="str">
        <f>IFERROR(VLOOKUP(purchasedata[[#This Row],[SKU Code]],product[#All],2,0)," ")</f>
        <v>Camera</v>
      </c>
      <c r="F25" s="2" t="str">
        <f>IFERROR(VLOOKUP(purchasedata[[#This Row],[SKU Code]],vendorsdata[#All],3,0),"")</f>
        <v>GG Traders</v>
      </c>
      <c r="G25" s="10">
        <v>46292</v>
      </c>
      <c r="H25" s="2">
        <v>26</v>
      </c>
      <c r="I25" s="2">
        <f>IFERROR(VLOOKUP(purchasedata[[#This Row],[SKU Code]],product[#All],3,0),"")</f>
        <v>52000</v>
      </c>
      <c r="J25" s="2">
        <f>IFERROR(purchasedata[[#This Row],[Units]]*purchasedata[[#This Row],[Cost]],"")</f>
        <v>1352000</v>
      </c>
    </row>
    <row r="26" spans="4:10" x14ac:dyDescent="0.25">
      <c r="D26" s="2" t="s">
        <v>42</v>
      </c>
      <c r="E26" s="2" t="str">
        <f>IFERROR(VLOOKUP(purchasedata[[#This Row],[SKU Code]],product[#All],2,0)," ")</f>
        <v>Headphones</v>
      </c>
      <c r="F26" s="2" t="str">
        <f>IFERROR(VLOOKUP(purchasedata[[#This Row],[SKU Code]],vendorsdata[#All],3,0),"")</f>
        <v>Compac</v>
      </c>
      <c r="G26" s="10">
        <v>46293</v>
      </c>
      <c r="H26" s="2">
        <v>27</v>
      </c>
      <c r="I26" s="2">
        <f>IFERROR(VLOOKUP(purchasedata[[#This Row],[SKU Code]],product[#All],3,0),"")</f>
        <v>799</v>
      </c>
      <c r="J26" s="2">
        <f>IFERROR(purchasedata[[#This Row],[Units]]*purchasedata[[#This Row],[Cost]],"")</f>
        <v>21573</v>
      </c>
    </row>
    <row r="27" spans="4:10" x14ac:dyDescent="0.25">
      <c r="D27" s="2" t="s">
        <v>44</v>
      </c>
      <c r="E27" s="2" t="str">
        <f>IFERROR(VLOOKUP(purchasedata[[#This Row],[SKU Code]],product[#All],2,0)," ")</f>
        <v>Speakers</v>
      </c>
      <c r="F27" s="2" t="str">
        <f>IFERROR(VLOOKUP(purchasedata[[#This Row],[SKU Code]],vendorsdata[#All],3,0),"")</f>
        <v>Compac</v>
      </c>
      <c r="G27" s="10">
        <v>46294</v>
      </c>
      <c r="H27" s="2">
        <v>28</v>
      </c>
      <c r="I27" s="2">
        <f>IFERROR(VLOOKUP(purchasedata[[#This Row],[SKU Code]],product[#All],3,0),"")</f>
        <v>670</v>
      </c>
      <c r="J27" s="2">
        <f>IFERROR(purchasedata[[#This Row],[Units]]*purchasedata[[#This Row],[Cost]],"")</f>
        <v>18760</v>
      </c>
    </row>
    <row r="28" spans="4:10" x14ac:dyDescent="0.25">
      <c r="D28" s="2" t="s">
        <v>36</v>
      </c>
      <c r="E28" s="2" t="str">
        <f>IFERROR(VLOOKUP(purchasedata[[#This Row],[SKU Code]],product[#All],2,0)," ")</f>
        <v>Mouse</v>
      </c>
      <c r="F28" s="2" t="str">
        <f>IFERROR(VLOOKUP(purchasedata[[#This Row],[SKU Code]],vendorsdata[#All],3,0),"")</f>
        <v>GG Traders</v>
      </c>
      <c r="G28" s="10">
        <v>46295</v>
      </c>
      <c r="H28" s="2">
        <v>10</v>
      </c>
      <c r="I28" s="2">
        <f>IFERROR(VLOOKUP(purchasedata[[#This Row],[SKU Code]],product[#All],3,0),"")</f>
        <v>200</v>
      </c>
      <c r="J28" s="2">
        <f>IFERROR(purchasedata[[#This Row],[Units]]*purchasedata[[#This Row],[Cost]],"")</f>
        <v>2000</v>
      </c>
    </row>
  </sheetData>
  <phoneticPr fontId="5" type="noConversion"/>
  <dataValidations count="1">
    <dataValidation type="list" allowBlank="1" showInputMessage="1" showErrorMessage="1" sqref="D9:D28" xr:uid="{C9006E2D-1F1B-4C82-9756-3317ABFAADC2}">
      <formula1>sku_code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EE91-2354-4672-931E-7A641E779103}">
  <dimension ref="B1:M33"/>
  <sheetViews>
    <sheetView showRowColHeaders="0" workbookViewId="0">
      <selection activeCell="J24" sqref="J24"/>
    </sheetView>
  </sheetViews>
  <sheetFormatPr defaultRowHeight="15" x14ac:dyDescent="0.25"/>
  <cols>
    <col min="1" max="1" width="2.5703125" style="2" customWidth="1"/>
    <col min="2" max="2" width="31.42578125" style="1" customWidth="1"/>
    <col min="3" max="3" width="4.28515625" style="2" customWidth="1"/>
    <col min="4" max="4" width="18.7109375" style="2" customWidth="1"/>
    <col min="5" max="5" width="26.140625" style="2" customWidth="1"/>
    <col min="6" max="6" width="22.7109375" style="2" customWidth="1"/>
    <col min="7" max="7" width="32.42578125" style="2" customWidth="1"/>
    <col min="8" max="8" width="12.85546875" style="2" customWidth="1"/>
    <col min="9" max="9" width="27.28515625" style="2" customWidth="1"/>
    <col min="10" max="10" width="13.85546875" style="2" customWidth="1"/>
    <col min="11" max="11" width="13.140625" style="2" customWidth="1"/>
    <col min="12" max="12" width="19.28515625" style="2" customWidth="1"/>
    <col min="13" max="13" width="19" style="2" customWidth="1"/>
    <col min="14" max="16384" width="9.140625" style="2"/>
  </cols>
  <sheetData>
    <row r="1" spans="2:13" x14ac:dyDescent="0.25">
      <c r="B1" s="2"/>
    </row>
    <row r="4" spans="2:13" x14ac:dyDescent="0.25">
      <c r="B4"/>
    </row>
    <row r="8" spans="2:13" ht="31.5" x14ac:dyDescent="0.5">
      <c r="D8" s="12" t="s">
        <v>0</v>
      </c>
      <c r="E8" s="11" t="s">
        <v>62</v>
      </c>
      <c r="F8" s="11" t="s">
        <v>84</v>
      </c>
      <c r="G8" s="11" t="s">
        <v>25</v>
      </c>
      <c r="H8" s="11" t="s">
        <v>59</v>
      </c>
      <c r="I8" s="11" t="s">
        <v>63</v>
      </c>
      <c r="J8" s="11" t="s">
        <v>60</v>
      </c>
      <c r="K8" s="11" t="s">
        <v>64</v>
      </c>
      <c r="L8" s="11" t="s">
        <v>61</v>
      </c>
      <c r="M8" s="11"/>
    </row>
    <row r="9" spans="2:13" x14ac:dyDescent="0.25">
      <c r="D9" s="13">
        <v>100</v>
      </c>
      <c r="E9" s="13" t="str">
        <f>IFERROR(VLOOKUP(sales[[#This Row],[Cust_ID]],customersdata[#All],2,0),"")</f>
        <v>Tanvir Ahmed</v>
      </c>
      <c r="F9" s="13" t="s">
        <v>28</v>
      </c>
      <c r="G9" s="13" t="str">
        <f>IFERROR(VLOOKUP(sales[[#This Row],[SKU Code]],product[#All],2,0),"")</f>
        <v>Smart Watch</v>
      </c>
      <c r="H9" s="15">
        <f>DATE(2026,9,11)</f>
        <v>46276</v>
      </c>
      <c r="I9" s="14">
        <f>IFERROR(VLOOKUP(sales[[#This Row],[SKU Code]],Inventory[#All],5,0),"")</f>
        <v>28</v>
      </c>
      <c r="J9" s="14">
        <v>10</v>
      </c>
      <c r="K9" s="14">
        <f>IFERROR(VLOOKUP(sales[[#This Row],[SKU Code]],product[#All],4,0),"")</f>
        <v>1176</v>
      </c>
      <c r="L9" s="14">
        <f>IFERROR(sales[[#This Row],[Price]]*sales[[#This Row],[Units]],"")</f>
        <v>11760</v>
      </c>
    </row>
    <row r="10" spans="2:13" x14ac:dyDescent="0.25">
      <c r="D10" s="13">
        <v>101</v>
      </c>
      <c r="E10" s="13" t="str">
        <f>IFERROR(VLOOKUP(sales[[#This Row],[Cust_ID]],customersdata[#All],2,0),"")</f>
        <v>Atul Ltd.</v>
      </c>
      <c r="F10" s="13" t="s">
        <v>30</v>
      </c>
      <c r="G10" s="13" t="str">
        <f>IFERROR(VLOOKUP(sales[[#This Row],[SKU Code]],product[#All],2,0),"")</f>
        <v>Laptop HP xyz i5</v>
      </c>
      <c r="H10" s="15">
        <f t="shared" ref="H10:H23" si="0">DATE(2026,9,11)</f>
        <v>46276</v>
      </c>
      <c r="I10" s="14">
        <f>IFERROR(VLOOKUP(sales[[#This Row],[SKU Code]],Inventory[#All],5,0),"")</f>
        <v>30</v>
      </c>
      <c r="J10" s="14">
        <v>11</v>
      </c>
      <c r="K10" s="14">
        <f>IFERROR(VLOOKUP(sales[[#This Row],[SKU Code]],product[#All],4,0),"")</f>
        <v>41400</v>
      </c>
      <c r="L10" s="14">
        <f>IFERROR(sales[[#This Row],[Price]]*sales[[#This Row],[Units]],"")</f>
        <v>455400</v>
      </c>
    </row>
    <row r="11" spans="2:13" x14ac:dyDescent="0.25">
      <c r="D11" s="13">
        <v>103</v>
      </c>
      <c r="E11" s="13" t="str">
        <f>IFERROR(VLOOKUP(sales[[#This Row],[Cust_ID]],customersdata[#All],2,0),"")</f>
        <v>99store</v>
      </c>
      <c r="F11" s="13" t="s">
        <v>32</v>
      </c>
      <c r="G11" s="13" t="str">
        <f>IFERROR(VLOOKUP(sales[[#This Row],[SKU Code]],product[#All],2,0),"")</f>
        <v>Wireless Printer</v>
      </c>
      <c r="H11" s="15">
        <f t="shared" si="0"/>
        <v>46276</v>
      </c>
      <c r="I11" s="14">
        <f>IFERROR(VLOOKUP(sales[[#This Row],[SKU Code]],Inventory[#All],5,0),"")</f>
        <v>12</v>
      </c>
      <c r="J11" s="14">
        <v>12</v>
      </c>
      <c r="K11" s="14">
        <f>IFERROR(VLOOKUP(sales[[#This Row],[SKU Code]],product[#All],4,0),"")</f>
        <v>5520</v>
      </c>
      <c r="L11" s="14">
        <f>IFERROR(sales[[#This Row],[Price]]*sales[[#This Row],[Units]],"")</f>
        <v>66240</v>
      </c>
    </row>
    <row r="12" spans="2:13" x14ac:dyDescent="0.25">
      <c r="D12" s="13">
        <v>104</v>
      </c>
      <c r="E12" s="13" t="str">
        <f>IFERROR(VLOOKUP(sales[[#This Row],[Cust_ID]],customersdata[#All],2,0),"")</f>
        <v>Rahim Uddin</v>
      </c>
      <c r="F12" s="13" t="s">
        <v>34</v>
      </c>
      <c r="G12" s="13" t="str">
        <f>IFERROR(VLOOKUP(sales[[#This Row],[SKU Code]],product[#All],2,0),"")</f>
        <v>Desktop</v>
      </c>
      <c r="H12" s="15">
        <f t="shared" si="0"/>
        <v>46276</v>
      </c>
      <c r="I12" s="14">
        <f>IFERROR(VLOOKUP(sales[[#This Row],[SKU Code]],Inventory[#All],5,0),"")</f>
        <v>13</v>
      </c>
      <c r="J12" s="14">
        <v>13</v>
      </c>
      <c r="K12" s="14">
        <f>IFERROR(VLOOKUP(sales[[#This Row],[SKU Code]],product[#All],4,0),"")</f>
        <v>25200</v>
      </c>
      <c r="L12" s="14">
        <f>IFERROR(sales[[#This Row],[Price]]*sales[[#This Row],[Units]],"")</f>
        <v>327600</v>
      </c>
    </row>
    <row r="13" spans="2:13" x14ac:dyDescent="0.25">
      <c r="D13" s="13">
        <v>105</v>
      </c>
      <c r="E13" s="13" t="str">
        <f>IFERROR(VLOOKUP(sales[[#This Row],[Cust_ID]],customersdata[#All],2,0),"")</f>
        <v xml:space="preserve">Amit </v>
      </c>
      <c r="F13" s="13" t="s">
        <v>36</v>
      </c>
      <c r="G13" s="13" t="str">
        <f>IFERROR(VLOOKUP(sales[[#This Row],[SKU Code]],product[#All],2,0),"")</f>
        <v>Mouse</v>
      </c>
      <c r="H13" s="15">
        <f t="shared" si="0"/>
        <v>46276</v>
      </c>
      <c r="I13" s="14">
        <f>IFERROR(VLOOKUP(sales[[#This Row],[SKU Code]],Inventory[#All],5,0),"")</f>
        <v>36</v>
      </c>
      <c r="J13" s="14">
        <v>14</v>
      </c>
      <c r="K13" s="14">
        <f>IFERROR(VLOOKUP(sales[[#This Row],[SKU Code]],product[#All],4,0),"")</f>
        <v>240</v>
      </c>
      <c r="L13" s="14">
        <f>IFERROR(sales[[#This Row],[Price]]*sales[[#This Row],[Units]],"")</f>
        <v>3360</v>
      </c>
    </row>
    <row r="14" spans="2:13" x14ac:dyDescent="0.25">
      <c r="D14" s="13">
        <v>106</v>
      </c>
      <c r="E14" s="13" t="str">
        <f>IFERROR(VLOOKUP(sales[[#This Row],[Cust_ID]],customersdata[#All],2,0),"")</f>
        <v>Sadman Tel.</v>
      </c>
      <c r="F14" s="13" t="s">
        <v>38</v>
      </c>
      <c r="G14" s="13" t="str">
        <f>IFERROR(VLOOKUP(sales[[#This Row],[SKU Code]],product[#All],2,0),"")</f>
        <v>Rgb Keyboard</v>
      </c>
      <c r="H14" s="15">
        <f t="shared" si="0"/>
        <v>46276</v>
      </c>
      <c r="I14" s="14">
        <f>IFERROR(VLOOKUP(sales[[#This Row],[SKU Code]],Inventory[#All],5,0),"")</f>
        <v>38</v>
      </c>
      <c r="J14" s="14">
        <v>15</v>
      </c>
      <c r="K14" s="14">
        <f>IFERROR(VLOOKUP(sales[[#This Row],[SKU Code]],product[#All],4,0),"")</f>
        <v>408</v>
      </c>
      <c r="L14" s="14">
        <f>IFERROR(sales[[#This Row],[Price]]*sales[[#This Row],[Units]],"")</f>
        <v>6120</v>
      </c>
    </row>
    <row r="15" spans="2:13" x14ac:dyDescent="0.25">
      <c r="D15" s="13">
        <v>104</v>
      </c>
      <c r="E15" s="13" t="str">
        <f>IFERROR(VLOOKUP(sales[[#This Row],[Cust_ID]],customersdata[#All],2,0),"")</f>
        <v>Rahim Uddin</v>
      </c>
      <c r="F15" s="13" t="s">
        <v>40</v>
      </c>
      <c r="G15" s="13" t="str">
        <f>IFERROR(VLOOKUP(sales[[#This Row],[SKU Code]],product[#All],2,0),"")</f>
        <v>Camera</v>
      </c>
      <c r="H15" s="15">
        <f t="shared" si="0"/>
        <v>46276</v>
      </c>
      <c r="I15" s="14">
        <f>IFERROR(VLOOKUP(sales[[#This Row],[SKU Code]],Inventory[#All],5,0),"")</f>
        <v>16</v>
      </c>
      <c r="J15" s="14">
        <v>16</v>
      </c>
      <c r="K15" s="14">
        <f>IFERROR(VLOOKUP(sales[[#This Row],[SKU Code]],product[#All],4,0),"")</f>
        <v>62400</v>
      </c>
      <c r="L15" s="14">
        <f>IFERROR(sales[[#This Row],[Price]]*sales[[#This Row],[Units]],"")</f>
        <v>998400</v>
      </c>
    </row>
    <row r="16" spans="2:13" x14ac:dyDescent="0.25">
      <c r="D16" s="13">
        <v>104</v>
      </c>
      <c r="E16" s="13" t="str">
        <f>IFERROR(VLOOKUP(sales[[#This Row],[Cust_ID]],customersdata[#All],2,0),"")</f>
        <v>Rahim Uddin</v>
      </c>
      <c r="F16" s="13" t="s">
        <v>42</v>
      </c>
      <c r="G16" s="13" t="str">
        <f>IFERROR(VLOOKUP(sales[[#This Row],[SKU Code]],product[#All],2,0),"")</f>
        <v>Headphones</v>
      </c>
      <c r="H16" s="15">
        <f t="shared" si="0"/>
        <v>46276</v>
      </c>
      <c r="I16" s="14">
        <f>IFERROR(VLOOKUP(sales[[#This Row],[SKU Code]],Inventory[#All],5,0),"")</f>
        <v>28</v>
      </c>
      <c r="J16" s="14">
        <v>17</v>
      </c>
      <c r="K16" s="14">
        <f>IFERROR(VLOOKUP(sales[[#This Row],[SKU Code]],product[#All],4,0),"")</f>
        <v>959</v>
      </c>
      <c r="L16" s="14">
        <f>IFERROR(sales[[#This Row],[Price]]*sales[[#This Row],[Units]],"")</f>
        <v>16303</v>
      </c>
    </row>
    <row r="17" spans="4:12" x14ac:dyDescent="0.25">
      <c r="D17" s="13">
        <v>102</v>
      </c>
      <c r="E17" s="13" t="str">
        <f>IFERROR(VLOOKUP(sales[[#This Row],[Cust_ID]],customersdata[#All],2,0),"")</f>
        <v>MK Tech.</v>
      </c>
      <c r="F17" s="13" t="s">
        <v>28</v>
      </c>
      <c r="G17" s="13" t="str">
        <f>IFERROR(VLOOKUP(sales[[#This Row],[SKU Code]],product[#All],2,0),"")</f>
        <v>Smart Watch</v>
      </c>
      <c r="H17" s="15">
        <f t="shared" si="0"/>
        <v>46276</v>
      </c>
      <c r="I17" s="14">
        <f>IFERROR(VLOOKUP(sales[[#This Row],[SKU Code]],Inventory[#All],5,0),"")</f>
        <v>28</v>
      </c>
      <c r="J17" s="14">
        <v>18</v>
      </c>
      <c r="K17" s="14">
        <f>IFERROR(VLOOKUP(sales[[#This Row],[SKU Code]],product[#All],4,0),"")</f>
        <v>1176</v>
      </c>
      <c r="L17" s="14">
        <f>IFERROR(sales[[#This Row],[Price]]*sales[[#This Row],[Units]],"")</f>
        <v>21168</v>
      </c>
    </row>
    <row r="18" spans="4:12" x14ac:dyDescent="0.25">
      <c r="D18" s="13">
        <v>100</v>
      </c>
      <c r="E18" s="13" t="str">
        <f>IFERROR(VLOOKUP(sales[[#This Row],[Cust_ID]],customersdata[#All],2,0),"")</f>
        <v>Tanvir Ahmed</v>
      </c>
      <c r="F18" s="13" t="s">
        <v>30</v>
      </c>
      <c r="G18" s="13" t="str">
        <f>IFERROR(VLOOKUP(sales[[#This Row],[SKU Code]],product[#All],2,0),"")</f>
        <v>Laptop HP xyz i5</v>
      </c>
      <c r="H18" s="15">
        <f t="shared" si="0"/>
        <v>46276</v>
      </c>
      <c r="I18" s="14">
        <f>IFERROR(VLOOKUP(sales[[#This Row],[SKU Code]],Inventory[#All],5,0),"")</f>
        <v>30</v>
      </c>
      <c r="J18" s="14">
        <v>19</v>
      </c>
      <c r="K18" s="14">
        <f>IFERROR(VLOOKUP(sales[[#This Row],[SKU Code]],product[#All],4,0),"")</f>
        <v>41400</v>
      </c>
      <c r="L18" s="14">
        <f>IFERROR(sales[[#This Row],[Price]]*sales[[#This Row],[Units]],"")</f>
        <v>786600</v>
      </c>
    </row>
    <row r="19" spans="4:12" x14ac:dyDescent="0.25">
      <c r="D19" s="13">
        <v>104</v>
      </c>
      <c r="E19" s="13" t="str">
        <f>IFERROR(VLOOKUP(sales[[#This Row],[Cust_ID]],customersdata[#All],2,0),"")</f>
        <v>Rahim Uddin</v>
      </c>
      <c r="F19" s="13" t="s">
        <v>46</v>
      </c>
      <c r="G19" s="13" t="str">
        <f>IFERROR(VLOOKUP(sales[[#This Row],[SKU Code]],product[#All],2,0),"")</f>
        <v>Tablets</v>
      </c>
      <c r="H19" s="15">
        <f t="shared" si="0"/>
        <v>46276</v>
      </c>
      <c r="I19" s="14">
        <f>IFERROR(VLOOKUP(sales[[#This Row],[SKU Code]],Inventory[#All],5,0),"")</f>
        <v>20</v>
      </c>
      <c r="J19" s="14">
        <v>20</v>
      </c>
      <c r="K19" s="14">
        <f>IFERROR(VLOOKUP(sales[[#This Row],[SKU Code]],product[#All],4,0),"")</f>
        <v>28200</v>
      </c>
      <c r="L19" s="14">
        <f>IFERROR(sales[[#This Row],[Price]]*sales[[#This Row],[Units]],"")</f>
        <v>564000</v>
      </c>
    </row>
    <row r="20" spans="4:12" x14ac:dyDescent="0.25">
      <c r="D20" s="13">
        <v>105</v>
      </c>
      <c r="E20" s="13" t="str">
        <f>IFERROR(VLOOKUP(sales[[#This Row],[Cust_ID]],customersdata[#All],2,0),"")</f>
        <v xml:space="preserve">Amit </v>
      </c>
      <c r="F20" s="13" t="s">
        <v>44</v>
      </c>
      <c r="G20" s="13" t="str">
        <f>IFERROR(VLOOKUP(sales[[#This Row],[SKU Code]],product[#All],2,0),"")</f>
        <v>Speakers</v>
      </c>
      <c r="H20" s="15">
        <f t="shared" si="0"/>
        <v>46276</v>
      </c>
      <c r="I20" s="14">
        <f>IFERROR(VLOOKUP(sales[[#This Row],[SKU Code]],Inventory[#All],5,0),"")</f>
        <v>21</v>
      </c>
      <c r="J20" s="14">
        <v>21</v>
      </c>
      <c r="K20" s="14">
        <f>IFERROR(VLOOKUP(sales[[#This Row],[SKU Code]],product[#All],4,0),"")</f>
        <v>804</v>
      </c>
      <c r="L20" s="14">
        <f>IFERROR(sales[[#This Row],[Price]]*sales[[#This Row],[Units]],"")</f>
        <v>16884</v>
      </c>
    </row>
    <row r="21" spans="4:12" x14ac:dyDescent="0.25">
      <c r="D21" s="13">
        <v>100</v>
      </c>
      <c r="E21" s="13" t="str">
        <f>IFERROR(VLOOKUP(sales[[#This Row],[Cust_ID]],customersdata[#All],2,0),"")</f>
        <v>Tanvir Ahmed</v>
      </c>
      <c r="F21" s="13" t="s">
        <v>36</v>
      </c>
      <c r="G21" s="13" t="str">
        <f>IFERROR(VLOOKUP(sales[[#This Row],[SKU Code]],product[#All],2,0),"")</f>
        <v>Mouse</v>
      </c>
      <c r="H21" s="15">
        <f t="shared" si="0"/>
        <v>46276</v>
      </c>
      <c r="I21" s="14">
        <f>IFERROR(VLOOKUP(sales[[#This Row],[SKU Code]],Inventory[#All],5,0),"")</f>
        <v>36</v>
      </c>
      <c r="J21" s="14">
        <v>22</v>
      </c>
      <c r="K21" s="14">
        <f>IFERROR(VLOOKUP(sales[[#This Row],[SKU Code]],product[#All],4,0),"")</f>
        <v>240</v>
      </c>
      <c r="L21" s="14">
        <f>IFERROR(sales[[#This Row],[Price]]*sales[[#This Row],[Units]],"")</f>
        <v>5280</v>
      </c>
    </row>
    <row r="22" spans="4:12" x14ac:dyDescent="0.25">
      <c r="D22" s="13">
        <v>104</v>
      </c>
      <c r="E22" s="13" t="str">
        <f>IFERROR(VLOOKUP(sales[[#This Row],[Cust_ID]],customersdata[#All],2,0),"")</f>
        <v>Rahim Uddin</v>
      </c>
      <c r="F22" s="13" t="s">
        <v>38</v>
      </c>
      <c r="G22" s="13" t="str">
        <f>IFERROR(VLOOKUP(sales[[#This Row],[SKU Code]],product[#All],2,0),"")</f>
        <v>Rgb Keyboard</v>
      </c>
      <c r="H22" s="15">
        <f t="shared" si="0"/>
        <v>46276</v>
      </c>
      <c r="I22" s="14">
        <f>IFERROR(VLOOKUP(sales[[#This Row],[SKU Code]],Inventory[#All],5,0),"")</f>
        <v>38</v>
      </c>
      <c r="J22" s="14">
        <v>23</v>
      </c>
      <c r="K22" s="14">
        <f>IFERROR(VLOOKUP(sales[[#This Row],[SKU Code]],product[#All],4,0),"")</f>
        <v>408</v>
      </c>
      <c r="L22" s="14">
        <f>IFERROR(sales[[#This Row],[Price]]*sales[[#This Row],[Units]],"")</f>
        <v>9384</v>
      </c>
    </row>
    <row r="23" spans="4:12" x14ac:dyDescent="0.25">
      <c r="D23" s="13">
        <v>106</v>
      </c>
      <c r="E23" s="13" t="str">
        <f>IFERROR(VLOOKUP(sales[[#This Row],[Cust_ID]],customersdata[#All],2,0),"")</f>
        <v>Sadman Tel.</v>
      </c>
      <c r="F23" s="13" t="s">
        <v>42</v>
      </c>
      <c r="G23" s="13" t="str">
        <f>IFERROR(VLOOKUP(sales[[#This Row],[SKU Code]],product[#All],2,0),"")</f>
        <v>Headphones</v>
      </c>
      <c r="H23" s="15">
        <f t="shared" si="0"/>
        <v>46276</v>
      </c>
      <c r="I23" s="14">
        <f>IFERROR(VLOOKUP(sales[[#This Row],[SKU Code]],Inventory[#All],5,0),"")</f>
        <v>28</v>
      </c>
      <c r="J23" s="14">
        <v>11</v>
      </c>
      <c r="K23" s="14">
        <f>IFERROR(VLOOKUP(sales[[#This Row],[SKU Code]],product[#All],4,0),"")</f>
        <v>959</v>
      </c>
      <c r="L23" s="14">
        <f>IFERROR(sales[[#This Row],[Price]]*sales[[#This Row],[Units]],"")</f>
        <v>10549</v>
      </c>
    </row>
    <row r="24" spans="4:12" x14ac:dyDescent="0.25">
      <c r="D24" s="13"/>
      <c r="E24" s="13" t="str">
        <f>IFERROR(VLOOKUP(sales[[#This Row],[Cust_ID]],customersdata[#All],2,0),"")</f>
        <v/>
      </c>
      <c r="F24" s="13"/>
      <c r="G24" s="13" t="str">
        <f>IFERROR(VLOOKUP(sales[[#This Row],[SKU Code]],product[#All],2,0),"")</f>
        <v/>
      </c>
      <c r="H24" s="13"/>
      <c r="I24" s="13" t="str">
        <f>IFERROR(VLOOKUP(sales[[#This Row],[SKU Code]],Inventory[#All],5,0),"")</f>
        <v/>
      </c>
      <c r="J24" s="14"/>
      <c r="K24" s="14" t="str">
        <f>IFERROR(VLOOKUP(sales[[#This Row],[SKU Code]],product[#All],4,0),"")</f>
        <v/>
      </c>
      <c r="L24" s="14" t="str">
        <f>IFERROR(sales[[#This Row],[Price]]*sales[[#This Row],[Units]],"")</f>
        <v/>
      </c>
    </row>
    <row r="32" spans="4:12" x14ac:dyDescent="0.25">
      <c r="D32" s="13"/>
      <c r="E32" s="13"/>
      <c r="F32" s="13"/>
      <c r="G32" s="13" t="str">
        <f>IFERROR(VLOOKUP(sales[[#This Row],[SKU Code]],product[#All],2,0),"")</f>
        <v/>
      </c>
      <c r="H32" s="15"/>
      <c r="I32" s="13" t="str">
        <f>IFERROR(VLOOKUP(sales[[#This Row],[SKU Code]],Inventory[#All],5,0),"")</f>
        <v/>
      </c>
      <c r="J32" s="14"/>
      <c r="K32" s="14" t="str">
        <f>IFERROR(VLOOKUP(sales[[#This Row],[SKU Code]],product[#All],4,0),"")</f>
        <v/>
      </c>
      <c r="L32" s="14" t="str">
        <f>IFERROR(sales[[#This Row],[Price]]*sales[[#This Row],[Units]],"")</f>
        <v/>
      </c>
    </row>
    <row r="33" spans="4:12" x14ac:dyDescent="0.25">
      <c r="D33" s="13"/>
      <c r="E33" s="13" t="str">
        <f>IFERROR(VLOOKUP(sales[[#This Row],[Cust_ID]],customersdata[#All],2,0),"")</f>
        <v/>
      </c>
      <c r="F33" s="13"/>
      <c r="G33" s="13" t="str">
        <f>IFERROR(VLOOKUP(sales[[#This Row],[SKU Code]],product[#All],2,0),"")</f>
        <v/>
      </c>
      <c r="H33" s="13"/>
      <c r="I33" s="13" t="str">
        <f>IFERROR(VLOOKUP(sales[[#This Row],[SKU Code]],Inventory[#All],5,0),"")</f>
        <v/>
      </c>
      <c r="J33" s="14"/>
      <c r="K33" s="14" t="str">
        <f>IFERROR(VLOOKUP(sales[[#This Row],[SKU Code]],product[#All],4,0),"")</f>
        <v/>
      </c>
      <c r="L33" s="14" t="str">
        <f>IFERROR(sales[[#This Row],[Price]]*sales[[#This Row],[Units]],"")</f>
        <v/>
      </c>
    </row>
  </sheetData>
  <phoneticPr fontId="5" type="noConversion"/>
  <dataValidations count="2">
    <dataValidation type="list" allowBlank="1" showInputMessage="1" showErrorMessage="1" sqref="D9:D24" xr:uid="{2BC2F08A-2EFE-44DD-A819-0B94B11E984B}">
      <formula1>Cust_ID</formula1>
    </dataValidation>
    <dataValidation type="list" allowBlank="1" showInputMessage="1" showErrorMessage="1" sqref="F9:F24" xr:uid="{D9F3AC8D-BE75-4FD1-AD2B-A7016C8C56D7}">
      <formula1>sku_code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8517-8122-4D3B-A606-BD2E5A5ACF34}">
  <dimension ref="B1:K33"/>
  <sheetViews>
    <sheetView showRowColHeaders="0" workbookViewId="0"/>
  </sheetViews>
  <sheetFormatPr defaultRowHeight="15" x14ac:dyDescent="0.25"/>
  <cols>
    <col min="1" max="1" width="2.5703125" style="2" customWidth="1"/>
    <col min="2" max="2" width="31.42578125" style="1" customWidth="1"/>
    <col min="3" max="3" width="4.42578125" style="2" customWidth="1"/>
    <col min="4" max="4" width="19.85546875" style="2" customWidth="1"/>
    <col min="5" max="5" width="27.140625" style="2" customWidth="1"/>
    <col min="6" max="6" width="10.85546875" style="2" customWidth="1"/>
    <col min="7" max="7" width="13.5703125" style="2" customWidth="1"/>
    <col min="8" max="8" width="13.42578125" style="2" customWidth="1"/>
    <col min="9" max="9" width="12.5703125" style="2" customWidth="1"/>
    <col min="10" max="10" width="20.42578125" style="2" customWidth="1"/>
    <col min="11" max="11" width="56.140625" style="2" customWidth="1"/>
    <col min="12" max="16384" width="9.140625" style="2"/>
  </cols>
  <sheetData>
    <row r="1" spans="2:11" x14ac:dyDescent="0.25">
      <c r="B1" s="2"/>
    </row>
    <row r="4" spans="2:11" x14ac:dyDescent="0.25">
      <c r="B4"/>
    </row>
    <row r="9" spans="2:11" ht="26.25" x14ac:dyDescent="0.4">
      <c r="D9" s="16" t="s">
        <v>84</v>
      </c>
      <c r="E9" s="16" t="s">
        <v>25</v>
      </c>
      <c r="F9" s="16" t="s">
        <v>26</v>
      </c>
      <c r="G9" s="16" t="s">
        <v>65</v>
      </c>
      <c r="H9" s="16" t="s">
        <v>66</v>
      </c>
      <c r="I9" s="16" t="s">
        <v>67</v>
      </c>
      <c r="J9" s="16" t="s">
        <v>68</v>
      </c>
      <c r="K9" s="16" t="s">
        <v>82</v>
      </c>
    </row>
    <row r="10" spans="2:11" ht="21" x14ac:dyDescent="0.35">
      <c r="D10" s="5" t="str">
        <f>IFERROR(product[[#This Row],[SKU Code]],"")</f>
        <v>N1001</v>
      </c>
      <c r="E10" s="5" t="str">
        <f>IFERROR(product[[#This Row],[Product Name]],"")</f>
        <v>Smart Watch</v>
      </c>
      <c r="F10" s="5">
        <f>IFERROR(product[[#This Row],[Cost]],"")</f>
        <v>980</v>
      </c>
      <c r="G10" s="5">
        <f>SUMIF(purchasedata[Product Name],Inventory[[#This Row],[Product Name]],purchasedata[Units])</f>
        <v>31</v>
      </c>
      <c r="H10" s="5">
        <f>SUMIF(sales[Product Name],Inventory[[#This Row],[Product Name]],sales[Units])</f>
        <v>28</v>
      </c>
      <c r="I10" s="5">
        <f>Inventory[[#This Row],[P Unit]]-Inventory[[#This Row],[S Unit]]</f>
        <v>3</v>
      </c>
      <c r="J10" s="5">
        <f>Inventory[[#This Row],[Cost]]*Inventory[[#This Row],[Stock]]</f>
        <v>2940</v>
      </c>
      <c r="K10" s="3" t="str">
        <f>IF(Inventory[[#This Row],[Stock]]&lt;2,"📞 "&amp;Inventory[[#This Row],[Product Name]]&amp;" Needs to re-order ! PH "&amp;VLOOKUP(Inventory[[#This Row],[SKU Code]],vendorsdata[#All],4,0),"")</f>
        <v/>
      </c>
    </row>
    <row r="11" spans="2:11" ht="21" x14ac:dyDescent="0.35">
      <c r="D11" s="5" t="str">
        <f>IFERROR(product[[#This Row],[SKU Code]],"")</f>
        <v>N1002</v>
      </c>
      <c r="E11" s="5" t="str">
        <f>IFERROR(product[[#This Row],[Product Name]],"")</f>
        <v>Laptop HP xyz i5</v>
      </c>
      <c r="F11" s="5">
        <f>IFERROR(product[[#This Row],[Cost]],"")</f>
        <v>34500</v>
      </c>
      <c r="G11" s="5">
        <f>SUMIF(purchasedata[Product Name],Inventory[[#This Row],[Product Name]],purchasedata[Units])</f>
        <v>31</v>
      </c>
      <c r="H11" s="5">
        <f>SUMIF(sales[Product Name],Inventory[[#This Row],[Product Name]],sales[Units])</f>
        <v>30</v>
      </c>
      <c r="I11" s="5">
        <f>Inventory[[#This Row],[P Unit]]-Inventory[[#This Row],[S Unit]]</f>
        <v>1</v>
      </c>
      <c r="J11" s="5">
        <f>Inventory[[#This Row],[Cost]]*Inventory[[#This Row],[Stock]]</f>
        <v>34500</v>
      </c>
      <c r="K11" s="25" t="str">
        <f>IF(Inventory[[#This Row],[Stock]]&lt;2,"📞 "&amp;Inventory[[#This Row],[Product Name]]&amp;" Needs to re-order ! PH "&amp;VLOOKUP(Inventory[[#This Row],[SKU Code]],vendorsdata[#All],4,0),"")</f>
        <v>📞 Laptop HP xyz i5 Needs to re-order ! PH 0182xxxxxx</v>
      </c>
    </row>
    <row r="12" spans="2:11" ht="21" x14ac:dyDescent="0.35">
      <c r="D12" s="5" t="str">
        <f>IFERROR(product[[#This Row],[SKU Code]],"")</f>
        <v>N1003</v>
      </c>
      <c r="E12" s="5" t="str">
        <f>IFERROR(product[[#This Row],[Product Name]],"")</f>
        <v>Wireless Printer</v>
      </c>
      <c r="F12" s="5">
        <f>IFERROR(product[[#This Row],[Cost]],"")</f>
        <v>4600</v>
      </c>
      <c r="G12" s="5">
        <f>SUMIF(purchasedata[Product Name],Inventory[[#This Row],[Product Name]],purchasedata[Units])</f>
        <v>34</v>
      </c>
      <c r="H12" s="5">
        <f>SUMIF(sales[Product Name],Inventory[[#This Row],[Product Name]],sales[Units])</f>
        <v>12</v>
      </c>
      <c r="I12" s="5">
        <f>Inventory[[#This Row],[P Unit]]-Inventory[[#This Row],[S Unit]]</f>
        <v>22</v>
      </c>
      <c r="J12" s="5">
        <f>Inventory[[#This Row],[Cost]]*Inventory[[#This Row],[Stock]]</f>
        <v>101200</v>
      </c>
      <c r="K12" s="3" t="str">
        <f>IF(Inventory[[#This Row],[Stock]]&lt;2,"📞 "&amp;Inventory[[#This Row],[Product Name]]&amp;" Needs to re-order ! PH "&amp;VLOOKUP(Inventory[[#This Row],[SKU Code]],vendorsdata[#All],4,0),"")</f>
        <v/>
      </c>
    </row>
    <row r="13" spans="2:11" ht="21" x14ac:dyDescent="0.35">
      <c r="D13" s="5" t="str">
        <f>IFERROR(product[[#This Row],[SKU Code]],"")</f>
        <v>N1004</v>
      </c>
      <c r="E13" s="5" t="str">
        <f>IFERROR(product[[#This Row],[Product Name]],"")</f>
        <v>Desktop</v>
      </c>
      <c r="F13" s="5">
        <f>IFERROR(product[[#This Row],[Cost]],"")</f>
        <v>21000</v>
      </c>
      <c r="G13" s="5">
        <f>SUMIF(purchasedata[Product Name],Inventory[[#This Row],[Product Name]],purchasedata[Units])</f>
        <v>36</v>
      </c>
      <c r="H13" s="5">
        <f>SUMIF(sales[Product Name],Inventory[[#This Row],[Product Name]],sales[Units])</f>
        <v>13</v>
      </c>
      <c r="I13" s="17">
        <f>Inventory[[#This Row],[P Unit]]-Inventory[[#This Row],[S Unit]]</f>
        <v>23</v>
      </c>
      <c r="J13" s="5">
        <f>Inventory[[#This Row],[Cost]]*Inventory[[#This Row],[Stock]]</f>
        <v>483000</v>
      </c>
      <c r="K13" s="3" t="str">
        <f>IF(Inventory[[#This Row],[Stock]]&lt;2,"📞 "&amp;Inventory[[#This Row],[Product Name]]&amp;" Needs to re-order ! PH "&amp;VLOOKUP(Inventory[[#This Row],[SKU Code]],vendorsdata[#All],4,0),"")</f>
        <v/>
      </c>
    </row>
    <row r="14" spans="2:11" ht="21" x14ac:dyDescent="0.35">
      <c r="D14" s="5" t="str">
        <f>IFERROR(product[[#This Row],[SKU Code]],"")</f>
        <v>N1005</v>
      </c>
      <c r="E14" s="5" t="str">
        <f>IFERROR(product[[#This Row],[Product Name]],"")</f>
        <v>Mouse</v>
      </c>
      <c r="F14" s="5">
        <f>IFERROR(product[[#This Row],[Cost]],"")</f>
        <v>200</v>
      </c>
      <c r="G14" s="5">
        <f>SUMIF(purchasedata[Product Name],Inventory[[#This Row],[Product Name]],purchasedata[Units])</f>
        <v>48</v>
      </c>
      <c r="H14" s="5">
        <f>SUMIF(sales[Product Name],Inventory[[#This Row],[Product Name]],sales[Units])</f>
        <v>36</v>
      </c>
      <c r="I14" s="5">
        <f>Inventory[[#This Row],[P Unit]]-Inventory[[#This Row],[S Unit]]</f>
        <v>12</v>
      </c>
      <c r="J14" s="5">
        <f>Inventory[[#This Row],[Cost]]*Inventory[[#This Row],[Stock]]</f>
        <v>2400</v>
      </c>
      <c r="K14" s="3" t="str">
        <f>IF(Inventory[[#This Row],[Stock]]&lt;2,"📞 "&amp;Inventory[[#This Row],[Product Name]]&amp;" Needs to re-order ! PH "&amp;VLOOKUP(Inventory[[#This Row],[SKU Code]],vendorsdata[#All],4,0),"")</f>
        <v/>
      </c>
    </row>
    <row r="15" spans="2:11" ht="21" x14ac:dyDescent="0.35">
      <c r="D15" s="5" t="str">
        <f>IFERROR(product[[#This Row],[SKU Code]],"")</f>
        <v>N1006</v>
      </c>
      <c r="E15" s="5" t="str">
        <f>IFERROR(product[[#This Row],[Product Name]],"")</f>
        <v>Rgb Keyboard</v>
      </c>
      <c r="F15" s="5">
        <f>IFERROR(product[[#This Row],[Cost]],"")</f>
        <v>340</v>
      </c>
      <c r="G15" s="5">
        <f>SUMIF(purchasedata[Product Name],Inventory[[#This Row],[Product Name]],purchasedata[Units])</f>
        <v>40</v>
      </c>
      <c r="H15" s="5">
        <f>SUMIF(sales[Product Name],Inventory[[#This Row],[Product Name]],sales[Units])</f>
        <v>38</v>
      </c>
      <c r="I15" s="5">
        <f>Inventory[[#This Row],[P Unit]]-Inventory[[#This Row],[S Unit]]</f>
        <v>2</v>
      </c>
      <c r="J15" s="5">
        <f>Inventory[[#This Row],[Cost]]*Inventory[[#This Row],[Stock]]</f>
        <v>680</v>
      </c>
      <c r="K15" s="3" t="str">
        <f>IF(Inventory[[#This Row],[Stock]]&lt;2,"📞 "&amp;Inventory[[#This Row],[Product Name]]&amp;" Needs to re-order ! PH "&amp;VLOOKUP(Inventory[[#This Row],[SKU Code]],vendorsdata[#All],4,0),"")</f>
        <v/>
      </c>
    </row>
    <row r="16" spans="2:11" ht="21" x14ac:dyDescent="0.35">
      <c r="D16" s="5" t="str">
        <f>IFERROR(product[[#This Row],[SKU Code]],"")</f>
        <v>N1007</v>
      </c>
      <c r="E16" s="5" t="str">
        <f>IFERROR(product[[#This Row],[Product Name]],"")</f>
        <v>Camera</v>
      </c>
      <c r="F16" s="5">
        <f>IFERROR(product[[#This Row],[Cost]],"")</f>
        <v>52000</v>
      </c>
      <c r="G16" s="5">
        <f>SUMIF(purchasedata[Product Name],Inventory[[#This Row],[Product Name]],purchasedata[Units])</f>
        <v>42</v>
      </c>
      <c r="H16" s="5">
        <f>SUMIF(sales[Product Name],Inventory[[#This Row],[Product Name]],sales[Units])</f>
        <v>16</v>
      </c>
      <c r="I16" s="5">
        <f>Inventory[[#This Row],[P Unit]]-Inventory[[#This Row],[S Unit]]</f>
        <v>26</v>
      </c>
      <c r="J16" s="5">
        <f>Inventory[[#This Row],[Cost]]*Inventory[[#This Row],[Stock]]</f>
        <v>1352000</v>
      </c>
      <c r="K16" s="3" t="str">
        <f>IF(Inventory[[#This Row],[Stock]]&lt;2,"📞 "&amp;Inventory[[#This Row],[Product Name]]&amp;" Needs to re-order ! PH "&amp;VLOOKUP(Inventory[[#This Row],[SKU Code]],vendorsdata[#All],4,0),"")</f>
        <v/>
      </c>
    </row>
    <row r="17" spans="4:11" ht="21" x14ac:dyDescent="0.35">
      <c r="D17" s="5" t="str">
        <f>IFERROR(product[[#This Row],[SKU Code]],"")</f>
        <v>N1008</v>
      </c>
      <c r="E17" s="5" t="str">
        <f>IFERROR(product[[#This Row],[Product Name]],"")</f>
        <v>Headphones</v>
      </c>
      <c r="F17" s="5">
        <f>IFERROR(product[[#This Row],[Cost]],"")</f>
        <v>799</v>
      </c>
      <c r="G17" s="5">
        <f>SUMIF(purchasedata[Product Name],Inventory[[#This Row],[Product Name]],purchasedata[Units])</f>
        <v>44</v>
      </c>
      <c r="H17" s="5">
        <f>SUMIF(sales[Product Name],Inventory[[#This Row],[Product Name]],sales[Units])</f>
        <v>28</v>
      </c>
      <c r="I17" s="5">
        <f>Inventory[[#This Row],[P Unit]]-Inventory[[#This Row],[S Unit]]</f>
        <v>16</v>
      </c>
      <c r="J17" s="5">
        <f>Inventory[[#This Row],[Cost]]*Inventory[[#This Row],[Stock]]</f>
        <v>12784</v>
      </c>
      <c r="K17" s="3" t="str">
        <f>IF(Inventory[[#This Row],[Stock]]&lt;2,"📞 "&amp;Inventory[[#This Row],[Product Name]]&amp;" Needs to re-order ! PH "&amp;VLOOKUP(Inventory[[#This Row],[SKU Code]],vendorsdata[#All],4,0),"")</f>
        <v/>
      </c>
    </row>
    <row r="18" spans="4:11" ht="21" x14ac:dyDescent="0.35">
      <c r="D18" s="5" t="str">
        <f>IFERROR(product[[#This Row],[SKU Code]],"")</f>
        <v>N1009</v>
      </c>
      <c r="E18" s="5" t="str">
        <f>IFERROR(product[[#This Row],[Product Name]],"")</f>
        <v>Speakers</v>
      </c>
      <c r="F18" s="5">
        <f>IFERROR(product[[#This Row],[Cost]],"")</f>
        <v>670</v>
      </c>
      <c r="G18" s="5">
        <f>SUMIF(purchasedata[Product Name],Inventory[[#This Row],[Product Name]],purchasedata[Units])</f>
        <v>46</v>
      </c>
      <c r="H18" s="5">
        <f>SUMIF(sales[Product Name],Inventory[[#This Row],[Product Name]],sales[Units])</f>
        <v>21</v>
      </c>
      <c r="I18" s="5">
        <f>Inventory[[#This Row],[P Unit]]-Inventory[[#This Row],[S Unit]]</f>
        <v>25</v>
      </c>
      <c r="J18" s="5">
        <f>Inventory[[#This Row],[Cost]]*Inventory[[#This Row],[Stock]]</f>
        <v>16750</v>
      </c>
      <c r="K18" s="3" t="str">
        <f>IF(Inventory[[#This Row],[Stock]]&lt;2,"📞 "&amp;Inventory[[#This Row],[Product Name]]&amp;" Needs to re-order ! PH "&amp;VLOOKUP(Inventory[[#This Row],[SKU Code]],vendorsdata[#All],4,0),"")</f>
        <v/>
      </c>
    </row>
    <row r="19" spans="4:11" ht="21" x14ac:dyDescent="0.35">
      <c r="D19" s="5" t="str">
        <f>IFERROR(product[[#This Row],[SKU Code]],"")</f>
        <v>N1010</v>
      </c>
      <c r="E19" s="5" t="str">
        <f>IFERROR(product[[#This Row],[Product Name]],"")</f>
        <v>Tablets</v>
      </c>
      <c r="F19" s="5">
        <f>IFERROR(product[[#This Row],[Cost]],"")</f>
        <v>23500</v>
      </c>
      <c r="G19" s="5">
        <f>SUMIF(purchasedata[Product Name],Inventory[[#This Row],[Product Name]],purchasedata[Units])</f>
        <v>29</v>
      </c>
      <c r="H19" s="5">
        <f>SUMIF(sales[Product Name],Inventory[[#This Row],[Product Name]],sales[Units])</f>
        <v>20</v>
      </c>
      <c r="I19" s="5">
        <f>Inventory[[#This Row],[P Unit]]-Inventory[[#This Row],[S Unit]]</f>
        <v>9</v>
      </c>
      <c r="J19" s="5">
        <f>Inventory[[#This Row],[Cost]]*Inventory[[#This Row],[Stock]]</f>
        <v>211500</v>
      </c>
      <c r="K19" s="3" t="str">
        <f>IF(Inventory[[#This Row],[Stock]]&lt;2,"📞 "&amp;Inventory[[#This Row],[Product Name]]&amp;" Needs to re-order ! PH "&amp;VLOOKUP(Inventory[[#This Row],[SKU Code]],vendorsdata[#All],4,0),"")</f>
        <v/>
      </c>
    </row>
    <row r="20" spans="4:11" ht="21" x14ac:dyDescent="0.35">
      <c r="D20" s="5"/>
      <c r="E20" s="5"/>
      <c r="F20" s="5"/>
      <c r="G20" s="5"/>
      <c r="H20" s="5"/>
      <c r="I20" s="5"/>
      <c r="J20" s="5"/>
    </row>
    <row r="21" spans="4:11" x14ac:dyDescent="0.25">
      <c r="E21" s="2" t="str">
        <f>IFERROR(product[[#This Row],[Product Name]],"")</f>
        <v/>
      </c>
      <c r="F21" s="2" t="str">
        <f>IFERROR(product[[#This Row],[Cost]],"")</f>
        <v/>
      </c>
    </row>
    <row r="22" spans="4:11" x14ac:dyDescent="0.25">
      <c r="D22" s="2" t="str">
        <f>IFERROR(product[[#This Row],[SKU Code]],"")</f>
        <v/>
      </c>
      <c r="E22" s="2" t="str">
        <f>IFERROR(product[[#This Row],[Product Name]],"")</f>
        <v/>
      </c>
      <c r="F22" s="2" t="str">
        <f>IFERROR(product[[#This Row],[Cost]],"")</f>
        <v/>
      </c>
    </row>
    <row r="23" spans="4:11" x14ac:dyDescent="0.25">
      <c r="D23" s="2" t="str">
        <f>IFERROR(product[[#This Row],[SKU Code]],"")</f>
        <v/>
      </c>
      <c r="E23" s="2" t="str">
        <f>IFERROR(product[[#This Row],[Product Name]],"")</f>
        <v/>
      </c>
      <c r="F23" s="2" t="str">
        <f>IFERROR(product[[#This Row],[Cost]],"")</f>
        <v/>
      </c>
    </row>
    <row r="24" spans="4:11" x14ac:dyDescent="0.25">
      <c r="D24" s="2" t="str">
        <f>IFERROR(product[[#This Row],[SKU Code]],"")</f>
        <v/>
      </c>
      <c r="E24" s="2" t="str">
        <f>IFERROR(product[[#This Row],[Product Name]],"")</f>
        <v/>
      </c>
      <c r="F24" s="2" t="str">
        <f>IFERROR(product[[#This Row],[Cost]],"")</f>
        <v/>
      </c>
    </row>
    <row r="25" spans="4:11" x14ac:dyDescent="0.25">
      <c r="D25" s="2" t="str">
        <f>IFERROR(product[[#This Row],[SKU Code]],"")</f>
        <v/>
      </c>
      <c r="E25" s="2" t="str">
        <f>IFERROR(product[[#This Row],[Product Name]],"")</f>
        <v/>
      </c>
      <c r="F25" s="2" t="str">
        <f>IFERROR(product[[#This Row],[Cost]],"")</f>
        <v/>
      </c>
    </row>
    <row r="26" spans="4:11" x14ac:dyDescent="0.25">
      <c r="D26" s="2" t="str">
        <f>IFERROR(product[[#This Row],[SKU Code]],"")</f>
        <v/>
      </c>
      <c r="E26" s="2" t="str">
        <f>IFERROR(product[[#This Row],[Product Name]],"")</f>
        <v/>
      </c>
      <c r="F26" s="2" t="str">
        <f>IFERROR(product[[#This Row],[Cost]],"")</f>
        <v/>
      </c>
    </row>
    <row r="27" spans="4:11" x14ac:dyDescent="0.25">
      <c r="D27" s="2" t="str">
        <f>IFERROR(product[[#This Row],[SKU Code]],"")</f>
        <v/>
      </c>
      <c r="E27" s="2" t="str">
        <f>IFERROR(product[[#This Row],[Product Name]],"")</f>
        <v/>
      </c>
      <c r="F27" s="2" t="str">
        <f>IFERROR(product[[#This Row],[Cost]],"")</f>
        <v/>
      </c>
    </row>
    <row r="28" spans="4:11" x14ac:dyDescent="0.25">
      <c r="D28" s="2" t="str">
        <f>IFERROR(product[[#This Row],[SKU Code]],"")</f>
        <v/>
      </c>
      <c r="E28" s="2" t="str">
        <f>IFERROR(product[[#This Row],[Product Name]],"")</f>
        <v/>
      </c>
      <c r="F28" s="2" t="str">
        <f>IFERROR(product[[#This Row],[Cost]],"")</f>
        <v/>
      </c>
    </row>
    <row r="29" spans="4:11" x14ac:dyDescent="0.25">
      <c r="D29" s="2" t="str">
        <f>IFERROR(product[[#This Row],[SKU Code]],"")</f>
        <v/>
      </c>
      <c r="E29" s="2" t="str">
        <f>IFERROR(product[[#This Row],[Product Name]],"")</f>
        <v/>
      </c>
      <c r="F29" s="2" t="str">
        <f>IFERROR(product[[#This Row],[Cost]],"")</f>
        <v/>
      </c>
    </row>
    <row r="30" spans="4:11" x14ac:dyDescent="0.25">
      <c r="D30" s="2" t="str">
        <f>IFERROR(product[[#This Row],[SKU Code]],"")</f>
        <v/>
      </c>
      <c r="E30" s="2" t="str">
        <f>IFERROR(product[[#This Row],[Product Name]],"")</f>
        <v/>
      </c>
      <c r="F30" s="2" t="str">
        <f>IFERROR(product[[#This Row],[Cost]],"")</f>
        <v/>
      </c>
    </row>
    <row r="31" spans="4:11" x14ac:dyDescent="0.25">
      <c r="D31" s="2" t="str">
        <f>IFERROR(product[[#This Row],[SKU Code]],"")</f>
        <v/>
      </c>
      <c r="E31" s="2" t="str">
        <f>IFERROR(product[[#This Row],[Product Name]],"")</f>
        <v/>
      </c>
      <c r="F31" s="2" t="str">
        <f>IFERROR(product[[#This Row],[Cost]],"")</f>
        <v/>
      </c>
    </row>
    <row r="32" spans="4:11" x14ac:dyDescent="0.25">
      <c r="D32" s="2" t="str">
        <f>IFERROR(product[[#This Row],[SKU Code]],"")</f>
        <v/>
      </c>
      <c r="E32" s="2" t="str">
        <f>IFERROR(product[[#This Row],[Product Name]],"")</f>
        <v/>
      </c>
      <c r="F32" s="2" t="str">
        <f>IFERROR(product[[#This Row],[Cost]],"")</f>
        <v/>
      </c>
    </row>
    <row r="33" spans="4:6" x14ac:dyDescent="0.25">
      <c r="D33" s="2" t="str">
        <f>IFERROR(product[[#This Row],[SKU Code]],"")</f>
        <v/>
      </c>
      <c r="E33" s="2" t="str">
        <f>IFERROR(product[[#This Row],[Product Name]],"")</f>
        <v/>
      </c>
      <c r="F33" s="2" t="str">
        <f>IFERROR(product[[#This Row],[Cost]],"")</f>
        <v/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8512-FE55-402D-807D-C782A3B440DB}">
  <dimension ref="A2:F34"/>
  <sheetViews>
    <sheetView workbookViewId="0">
      <selection activeCell="R9" sqref="R9"/>
    </sheetView>
  </sheetViews>
  <sheetFormatPr defaultRowHeight="15" x14ac:dyDescent="0.25"/>
  <cols>
    <col min="1" max="1" width="15.42578125" customWidth="1"/>
    <col min="2" max="2" width="12.28515625" customWidth="1"/>
    <col min="3" max="3" width="15.28515625" customWidth="1"/>
    <col min="5" max="5" width="13.42578125" customWidth="1"/>
    <col min="6" max="6" width="14.85546875" customWidth="1"/>
  </cols>
  <sheetData>
    <row r="2" spans="1:6" x14ac:dyDescent="0.25">
      <c r="A2" t="s">
        <v>69</v>
      </c>
      <c r="C2" t="s">
        <v>70</v>
      </c>
      <c r="E2" s="19" t="s">
        <v>76</v>
      </c>
      <c r="F2" t="s">
        <v>81</v>
      </c>
    </row>
    <row r="3" spans="1:6" x14ac:dyDescent="0.25">
      <c r="A3">
        <v>7</v>
      </c>
      <c r="C3">
        <f>GETPIVOTDATA("Name",$A$2)</f>
        <v>7</v>
      </c>
      <c r="E3" s="18" t="s">
        <v>39</v>
      </c>
      <c r="F3">
        <v>38</v>
      </c>
    </row>
    <row r="4" spans="1:6" x14ac:dyDescent="0.25">
      <c r="E4" s="18" t="s">
        <v>37</v>
      </c>
      <c r="F4">
        <v>36</v>
      </c>
    </row>
    <row r="5" spans="1:6" x14ac:dyDescent="0.25">
      <c r="A5" t="s">
        <v>71</v>
      </c>
      <c r="C5" t="s">
        <v>72</v>
      </c>
      <c r="E5" s="18" t="s">
        <v>31</v>
      </c>
      <c r="F5">
        <v>30</v>
      </c>
    </row>
    <row r="6" spans="1:6" x14ac:dyDescent="0.25">
      <c r="A6">
        <v>10</v>
      </c>
      <c r="C6">
        <f>GETPIVOTDATA("Product Name",$A$5)</f>
        <v>10</v>
      </c>
      <c r="E6" s="18" t="s">
        <v>29</v>
      </c>
      <c r="F6">
        <v>28</v>
      </c>
    </row>
    <row r="7" spans="1:6" x14ac:dyDescent="0.25">
      <c r="E7" s="18" t="s">
        <v>45</v>
      </c>
      <c r="F7">
        <v>21</v>
      </c>
    </row>
    <row r="8" spans="1:6" x14ac:dyDescent="0.25">
      <c r="E8" s="18" t="s">
        <v>77</v>
      </c>
      <c r="F8">
        <v>153</v>
      </c>
    </row>
    <row r="9" spans="1:6" x14ac:dyDescent="0.25">
      <c r="A9" t="s">
        <v>73</v>
      </c>
      <c r="C9" t="s">
        <v>74</v>
      </c>
    </row>
    <row r="10" spans="1:6" x14ac:dyDescent="0.25">
      <c r="A10" s="22">
        <v>4998476</v>
      </c>
      <c r="C10" s="21">
        <f>GETPIVOTDATA("Amount",$A$9)</f>
        <v>4998476</v>
      </c>
    </row>
    <row r="11" spans="1:6" x14ac:dyDescent="0.25">
      <c r="E11" s="19" t="s">
        <v>76</v>
      </c>
      <c r="F11" t="s">
        <v>73</v>
      </c>
    </row>
    <row r="12" spans="1:6" x14ac:dyDescent="0.25">
      <c r="A12" t="s">
        <v>73</v>
      </c>
      <c r="C12" t="s">
        <v>75</v>
      </c>
      <c r="E12" s="18" t="s">
        <v>14</v>
      </c>
      <c r="F12">
        <v>1915687</v>
      </c>
    </row>
    <row r="13" spans="1:6" x14ac:dyDescent="0.25">
      <c r="A13" s="22">
        <v>3288499</v>
      </c>
      <c r="C13" s="21">
        <f>GETPIVOTDATA("Amount",$A$12)</f>
        <v>3288499</v>
      </c>
      <c r="E13" s="18" t="s">
        <v>12</v>
      </c>
      <c r="F13">
        <v>803640</v>
      </c>
    </row>
    <row r="14" spans="1:6" x14ac:dyDescent="0.25">
      <c r="E14" s="18" t="s">
        <v>4</v>
      </c>
      <c r="F14">
        <v>455400</v>
      </c>
    </row>
    <row r="15" spans="1:6" x14ac:dyDescent="0.25">
      <c r="E15" s="18" t="s">
        <v>8</v>
      </c>
      <c r="F15">
        <v>66240</v>
      </c>
    </row>
    <row r="16" spans="1:6" x14ac:dyDescent="0.25">
      <c r="A16" t="s">
        <v>78</v>
      </c>
      <c r="C16" t="s">
        <v>79</v>
      </c>
      <c r="E16" s="18" t="s">
        <v>6</v>
      </c>
      <c r="F16">
        <v>21168</v>
      </c>
    </row>
    <row r="17" spans="1:6" x14ac:dyDescent="0.25">
      <c r="A17" s="22">
        <v>2258063</v>
      </c>
      <c r="C17" s="21">
        <f>GETPIVOTDATA("Stock Amt",$A$16)</f>
        <v>2258063</v>
      </c>
      <c r="E17" s="18" t="s">
        <v>77</v>
      </c>
      <c r="F17">
        <v>3262135</v>
      </c>
    </row>
    <row r="19" spans="1:6" x14ac:dyDescent="0.25">
      <c r="C19" t="s">
        <v>80</v>
      </c>
    </row>
    <row r="20" spans="1:6" x14ac:dyDescent="0.25">
      <c r="C20" s="20">
        <f>C17+C13-C10</f>
        <v>548086</v>
      </c>
    </row>
    <row r="23" spans="1:6" x14ac:dyDescent="0.25">
      <c r="A23" s="19" t="s">
        <v>76</v>
      </c>
      <c r="B23" t="s">
        <v>83</v>
      </c>
    </row>
    <row r="24" spans="1:6" x14ac:dyDescent="0.25">
      <c r="A24" s="18" t="s">
        <v>41</v>
      </c>
      <c r="B24">
        <v>26</v>
      </c>
    </row>
    <row r="25" spans="1:6" x14ac:dyDescent="0.25">
      <c r="A25" s="18" t="s">
        <v>35</v>
      </c>
      <c r="B25">
        <v>23</v>
      </c>
    </row>
    <row r="26" spans="1:6" x14ac:dyDescent="0.25">
      <c r="A26" s="18" t="s">
        <v>43</v>
      </c>
      <c r="B26">
        <v>27</v>
      </c>
    </row>
    <row r="27" spans="1:6" x14ac:dyDescent="0.25">
      <c r="A27" s="18" t="s">
        <v>31</v>
      </c>
      <c r="B27">
        <v>2</v>
      </c>
    </row>
    <row r="28" spans="1:6" x14ac:dyDescent="0.25">
      <c r="A28" s="18" t="s">
        <v>37</v>
      </c>
      <c r="B28">
        <v>2</v>
      </c>
    </row>
    <row r="29" spans="1:6" x14ac:dyDescent="0.25">
      <c r="A29" s="18" t="s">
        <v>39</v>
      </c>
      <c r="B29">
        <v>2</v>
      </c>
    </row>
    <row r="30" spans="1:6" x14ac:dyDescent="0.25">
      <c r="A30" s="18" t="s">
        <v>29</v>
      </c>
      <c r="B30">
        <v>2</v>
      </c>
    </row>
    <row r="31" spans="1:6" x14ac:dyDescent="0.25">
      <c r="A31" s="18" t="s">
        <v>45</v>
      </c>
      <c r="B31">
        <v>25</v>
      </c>
    </row>
    <row r="32" spans="1:6" x14ac:dyDescent="0.25">
      <c r="A32" s="18" t="s">
        <v>47</v>
      </c>
      <c r="B32">
        <v>9</v>
      </c>
    </row>
    <row r="33" spans="1:2" x14ac:dyDescent="0.25">
      <c r="A33" s="18" t="s">
        <v>33</v>
      </c>
      <c r="B33">
        <v>22</v>
      </c>
    </row>
    <row r="34" spans="1:2" x14ac:dyDescent="0.25">
      <c r="A34" s="18" t="s">
        <v>77</v>
      </c>
      <c r="B34">
        <v>140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Custumers</vt:lpstr>
      <vt:lpstr>Products</vt:lpstr>
      <vt:lpstr>Vendors</vt:lpstr>
      <vt:lpstr>New Entry</vt:lpstr>
      <vt:lpstr>Purchase</vt:lpstr>
      <vt:lpstr>Sales</vt:lpstr>
      <vt:lpstr>Inventory</vt:lpstr>
      <vt:lpstr>Pivots</vt:lpstr>
      <vt:lpstr>Cust_ID</vt:lpstr>
      <vt:lpstr>sku_code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2026-09-11T19:42:36Z</cp:lastPrinted>
  <dcterms:created xsi:type="dcterms:W3CDTF">2026-09-03T13:48:29Z</dcterms:created>
  <dcterms:modified xsi:type="dcterms:W3CDTF">2026-09-13T05:34:32Z</dcterms:modified>
</cp:coreProperties>
</file>